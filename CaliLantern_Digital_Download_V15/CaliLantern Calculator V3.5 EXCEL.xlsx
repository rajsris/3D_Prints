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vector3d-my.sharepoint.com/personal/adam_vector3d_co_uk/Documents/Projects/Vector 3D/Testing and Calibration Products/Z Calibration/"/>
    </mc:Choice>
  </mc:AlternateContent>
  <xr:revisionPtr revIDLastSave="942" documentId="8_{74FE1493-CAA3-49EA-A53B-4AB8595D8C85}" xr6:coauthVersionLast="47" xr6:coauthVersionMax="47" xr10:uidLastSave="{74866987-15C8-43E8-9AE1-013C72EE02AD}"/>
  <workbookProtection workbookAlgorithmName="SHA-512" workbookHashValue="459zKhn6X3ZXJvtdKQ1zj6ARiy4jEyTfHfo38dNmtS+not98zGBBnbHEQffohXIVxl8rPs9us9o9LJkAWrooTg==" workbookSaltValue="CUhf0styxcmZyJqJS3//tw==" workbookSpinCount="100000" lockStructure="1"/>
  <bookViews>
    <workbookView xWindow="975" yWindow="1290" windowWidth="27720" windowHeight="19470" tabRatio="526" xr2:uid="{A0926C99-DF4F-485F-988A-88DA9D483445}"/>
  </bookViews>
  <sheets>
    <sheet name="Calculator" sheetId="2" r:id="rId1"/>
    <sheet name="Data" sheetId="3" state="hidden" r:id="rId2"/>
  </sheets>
  <definedNames>
    <definedName name="scale">Calculator!$C$20</definedName>
    <definedName name="XBig">Data!$B$44</definedName>
    <definedName name="XTravel">Data!$B$32</definedName>
    <definedName name="XTravelDouble">Data!$D$44</definedName>
    <definedName name="XTravelHalf">Data!$C$32</definedName>
    <definedName name="XYDiag">Data!$B$35</definedName>
    <definedName name="XYTravel">Data!$B$35</definedName>
    <definedName name="YBig">Data!$B$45</definedName>
    <definedName name="YTravel">Data!$B$33</definedName>
    <definedName name="YTravelDouble">Data!$D$45</definedName>
    <definedName name="YTravelHalf">Data!$C$33</definedName>
    <definedName name="ZBig">Data!$B$46</definedName>
    <definedName name="ZDiag">Data!#REF!</definedName>
    <definedName name="ZDiagBig">Data!#REF!</definedName>
    <definedName name="ZDiagDouble">Data!#REF!</definedName>
    <definedName name="ZDiagHalf">Data!#REF!</definedName>
    <definedName name="ZTravel">Data!#REF!</definedName>
    <definedName name="ZTravelDouble">Data!$D$46</definedName>
    <definedName name="ZTravelHalf">Data!#REF!</definedName>
    <definedName name="ZVertical">Data!$B$34</definedName>
    <definedName name="ZVerticalHalf">Data!$C$34</definedName>
    <definedName name="ZXDiag">Data!$B$37</definedName>
    <definedName name="ZYDiag">Data!$B$36</definedName>
    <definedName name="ZYTravel">Data!$B$36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6" i="3" l="1"/>
  <c r="C87" i="3" s="1"/>
  <c r="D87" i="3"/>
  <c r="D89" i="3"/>
  <c r="C89" i="3"/>
  <c r="B89" i="3"/>
  <c r="B87" i="3"/>
  <c r="C61" i="3"/>
  <c r="D61" i="3"/>
  <c r="B61" i="3"/>
  <c r="B62" i="3" s="1"/>
  <c r="B37" i="3"/>
  <c r="B32" i="3" l="1"/>
  <c r="B50" i="3" l="1"/>
  <c r="B51" i="3" s="1"/>
  <c r="B54" i="3" l="1"/>
  <c r="C54" i="3"/>
  <c r="D54" i="3"/>
  <c r="D50" i="3"/>
  <c r="D51" i="3" s="1"/>
  <c r="C50" i="3"/>
  <c r="C51" i="3" s="1"/>
  <c r="C71" i="2" l="1"/>
  <c r="C72" i="2"/>
  <c r="C73" i="2"/>
  <c r="B64" i="3"/>
  <c r="C57" i="3"/>
  <c r="C58" i="3" s="1"/>
  <c r="D57" i="3"/>
  <c r="D58" i="3" s="1"/>
  <c r="B57" i="3"/>
  <c r="B58" i="3" s="1"/>
  <c r="A53" i="3"/>
  <c r="A61" i="3"/>
  <c r="A49" i="3"/>
  <c r="E61" i="3"/>
  <c r="H12" i="3"/>
  <c r="H13" i="3"/>
  <c r="H14" i="3"/>
  <c r="H15" i="3"/>
  <c r="H16" i="3"/>
  <c r="H17" i="3"/>
  <c r="G12" i="3"/>
  <c r="G13" i="3"/>
  <c r="G14" i="3"/>
  <c r="G15" i="3"/>
  <c r="G16" i="3"/>
  <c r="G17" i="3"/>
  <c r="F12" i="3"/>
  <c r="F13" i="3"/>
  <c r="F14" i="3"/>
  <c r="F15" i="3"/>
  <c r="F16" i="3"/>
  <c r="F17" i="3"/>
  <c r="F3" i="3"/>
  <c r="G3" i="3"/>
  <c r="H3" i="3"/>
  <c r="F4" i="3"/>
  <c r="G4" i="3"/>
  <c r="H4" i="3"/>
  <c r="F5" i="3"/>
  <c r="G5" i="3"/>
  <c r="H5" i="3"/>
  <c r="F6" i="3"/>
  <c r="G6" i="3"/>
  <c r="H6" i="3"/>
  <c r="F7" i="3"/>
  <c r="G7" i="3"/>
  <c r="H7" i="3"/>
  <c r="F8" i="3"/>
  <c r="G8" i="3"/>
  <c r="H8" i="3"/>
  <c r="F9" i="3"/>
  <c r="G9" i="3"/>
  <c r="H9" i="3"/>
  <c r="G2" i="3"/>
  <c r="H2" i="3"/>
  <c r="F2" i="3"/>
  <c r="B36" i="3"/>
  <c r="B35" i="3"/>
  <c r="B34" i="3"/>
  <c r="B33" i="3"/>
  <c r="B65" i="3" l="1"/>
  <c r="B80" i="3" s="1"/>
  <c r="E10" i="3"/>
  <c r="H10" i="3"/>
  <c r="G10" i="3"/>
  <c r="F10" i="3"/>
  <c r="C34" i="3"/>
  <c r="I17" i="3"/>
  <c r="D71" i="3" s="1"/>
  <c r="N2" i="3"/>
  <c r="O2" i="3" s="1"/>
  <c r="E8" i="3"/>
  <c r="I8" i="3"/>
  <c r="I16" i="3"/>
  <c r="I9" i="3"/>
  <c r="I3" i="3"/>
  <c r="I13" i="3"/>
  <c r="B71" i="3" s="1"/>
  <c r="B73" i="3" s="1"/>
  <c r="I15" i="3"/>
  <c r="C71" i="3" s="1"/>
  <c r="I12" i="3"/>
  <c r="I6" i="3"/>
  <c r="F28" i="2" s="1"/>
  <c r="I5" i="3"/>
  <c r="F27" i="2" s="1"/>
  <c r="I4" i="3"/>
  <c r="I14" i="3"/>
  <c r="I7" i="3"/>
  <c r="E12" i="3"/>
  <c r="E13" i="3"/>
  <c r="E14" i="3"/>
  <c r="E2" i="3"/>
  <c r="E15" i="3"/>
  <c r="E4" i="3"/>
  <c r="E16" i="3"/>
  <c r="E6" i="3"/>
  <c r="E17" i="3"/>
  <c r="D62" i="3"/>
  <c r="D65" i="3" s="1"/>
  <c r="C62" i="3"/>
  <c r="C65" i="3" s="1"/>
  <c r="I2" i="3"/>
  <c r="N16" i="3"/>
  <c r="O16" i="3" s="1"/>
  <c r="N14" i="3"/>
  <c r="O14" i="3" s="1"/>
  <c r="N8" i="3"/>
  <c r="O8" i="3" s="1"/>
  <c r="N7" i="3"/>
  <c r="O7" i="3" s="1"/>
  <c r="N15" i="3"/>
  <c r="O15" i="3" s="1"/>
  <c r="N13" i="3"/>
  <c r="O13" i="3" s="1"/>
  <c r="N12" i="3"/>
  <c r="O12" i="3" s="1"/>
  <c r="N4" i="3"/>
  <c r="O4" i="3" s="1"/>
  <c r="N6" i="3"/>
  <c r="O6" i="3" s="1"/>
  <c r="N5" i="3"/>
  <c r="O5" i="3" s="1"/>
  <c r="N9" i="3"/>
  <c r="O9" i="3" s="1"/>
  <c r="N3" i="3"/>
  <c r="O3" i="3" s="1"/>
  <c r="N17" i="3"/>
  <c r="O17" i="3" s="1"/>
  <c r="C70" i="3" l="1"/>
  <c r="F34" i="2"/>
  <c r="D70" i="3"/>
  <c r="F36" i="2"/>
  <c r="C45" i="3"/>
  <c r="B70" i="3"/>
  <c r="B72" i="3" s="1"/>
  <c r="B44" i="3"/>
  <c r="D44" i="3" s="1"/>
  <c r="E11" i="3"/>
  <c r="H11" i="3"/>
  <c r="G11" i="3"/>
  <c r="F11" i="3"/>
  <c r="N10" i="3"/>
  <c r="O10" i="3" s="1"/>
  <c r="I10" i="3"/>
  <c r="B46" i="3" s="1"/>
  <c r="B45" i="3"/>
  <c r="C44" i="3"/>
  <c r="F37" i="2"/>
  <c r="F30" i="2"/>
  <c r="F29" i="2"/>
  <c r="F25" i="2"/>
  <c r="F24" i="2"/>
  <c r="F31" i="2"/>
  <c r="F26" i="2"/>
  <c r="F33" i="2"/>
  <c r="F35" i="2"/>
  <c r="D55" i="2"/>
  <c r="D56" i="2"/>
  <c r="F32" i="2"/>
  <c r="L2" i="3"/>
  <c r="J2" i="3"/>
  <c r="D54" i="2"/>
  <c r="C80" i="3"/>
  <c r="D80" i="3"/>
  <c r="L16" i="3"/>
  <c r="L15" i="3"/>
  <c r="L12" i="3"/>
  <c r="L8" i="3"/>
  <c r="L6" i="3"/>
  <c r="J4" i="3"/>
  <c r="C33" i="3"/>
  <c r="C32" i="3"/>
  <c r="M2" i="3" l="1"/>
  <c r="P2" i="3" s="1"/>
  <c r="G24" i="2" s="1"/>
  <c r="L10" i="3"/>
  <c r="M10" i="3" s="1"/>
  <c r="P10" i="3" s="1"/>
  <c r="K10" i="3"/>
  <c r="D46" i="3"/>
  <c r="I11" i="3"/>
  <c r="N11" i="3"/>
  <c r="O11" i="3" s="1"/>
  <c r="J10" i="3"/>
  <c r="D45" i="3"/>
  <c r="E5" i="3"/>
  <c r="E3" i="3"/>
  <c r="J3" i="3" s="1"/>
  <c r="E7" i="3"/>
  <c r="E9" i="3"/>
  <c r="J9" i="3" s="1"/>
  <c r="M12" i="3"/>
  <c r="M16" i="3"/>
  <c r="M6" i="3"/>
  <c r="M8" i="3"/>
  <c r="M15" i="3"/>
  <c r="L17" i="3"/>
  <c r="L13" i="3"/>
  <c r="L14" i="3"/>
  <c r="L4" i="3"/>
  <c r="J17" i="3"/>
  <c r="J6" i="3"/>
  <c r="J16" i="3"/>
  <c r="J12" i="3"/>
  <c r="J8" i="3"/>
  <c r="J15" i="3"/>
  <c r="J14" i="3"/>
  <c r="J13" i="3"/>
  <c r="K17" i="3"/>
  <c r="K16" i="3"/>
  <c r="K15" i="3"/>
  <c r="K12" i="3"/>
  <c r="K13" i="3"/>
  <c r="K14" i="3"/>
  <c r="C97" i="2"/>
  <c r="C99" i="2"/>
  <c r="C70" i="2"/>
  <c r="C46" i="3" l="1"/>
  <c r="K11" i="3"/>
  <c r="L11" i="3"/>
  <c r="M11" i="3" s="1"/>
  <c r="P11" i="3" s="1"/>
  <c r="J11" i="3"/>
  <c r="L9" i="3"/>
  <c r="M9" i="3" s="1"/>
  <c r="L3" i="3"/>
  <c r="M3" i="3" s="1"/>
  <c r="P6" i="3"/>
  <c r="P12" i="3"/>
  <c r="P8" i="3"/>
  <c r="P16" i="3"/>
  <c r="P15" i="3"/>
  <c r="M4" i="3"/>
  <c r="M17" i="3"/>
  <c r="M14" i="3"/>
  <c r="M13" i="3"/>
  <c r="J5" i="3"/>
  <c r="L5" i="3"/>
  <c r="J7" i="3"/>
  <c r="L7" i="3"/>
  <c r="K4" i="3"/>
  <c r="K5" i="3"/>
  <c r="K8" i="3"/>
  <c r="K9" i="3"/>
  <c r="D41" i="3" l="1"/>
  <c r="E41" i="3"/>
  <c r="D73" i="3"/>
  <c r="D72" i="3"/>
  <c r="C73" i="3"/>
  <c r="C72" i="3"/>
  <c r="G35" i="2"/>
  <c r="G36" i="2"/>
  <c r="G28" i="2"/>
  <c r="G30" i="2"/>
  <c r="G32" i="2"/>
  <c r="P3" i="3"/>
  <c r="P4" i="3"/>
  <c r="P9" i="3"/>
  <c r="P17" i="3"/>
  <c r="P14" i="3"/>
  <c r="P13" i="3"/>
  <c r="M5" i="3"/>
  <c r="M7" i="3"/>
  <c r="K7" i="3"/>
  <c r="K3" i="3"/>
  <c r="K6" i="3"/>
  <c r="C41" i="3" l="1"/>
  <c r="G37" i="2"/>
  <c r="G34" i="2"/>
  <c r="G31" i="2"/>
  <c r="G26" i="2"/>
  <c r="G25" i="2"/>
  <c r="G33" i="2"/>
  <c r="B60" i="2"/>
  <c r="P5" i="3"/>
  <c r="P7" i="3"/>
  <c r="D74" i="3" l="1"/>
  <c r="D86" i="3" s="1"/>
  <c r="D91" i="3" s="1"/>
  <c r="A131" i="3" s="1"/>
  <c r="B102" i="3"/>
  <c r="G29" i="2"/>
  <c r="G27" i="2"/>
  <c r="B152" i="3"/>
  <c r="B156" i="3"/>
  <c r="B50" i="2"/>
  <c r="C50" i="2" s="1"/>
  <c r="D102" i="3" l="1"/>
  <c r="E102" i="3" s="1"/>
  <c r="C85" i="2"/>
  <c r="D75" i="3"/>
  <c r="D76" i="3" s="1"/>
  <c r="C122" i="2"/>
  <c r="C129" i="2"/>
  <c r="B56" i="2" l="1"/>
  <c r="D77" i="3"/>
  <c r="C56" i="2" l="1"/>
  <c r="D79" i="3"/>
  <c r="D81" i="3" s="1"/>
  <c r="B100" i="3" l="1"/>
  <c r="E56" i="2"/>
  <c r="D83" i="3"/>
  <c r="K2" i="3"/>
  <c r="D100" i="3" l="1"/>
  <c r="E100" i="3" s="1"/>
  <c r="B41" i="3"/>
  <c r="B74" i="3" s="1"/>
  <c r="B86" i="3" s="1"/>
  <c r="B91" i="3" s="1"/>
  <c r="A121" i="3" s="1"/>
  <c r="F41" i="3"/>
  <c r="D85" i="3"/>
  <c r="D90" i="3" s="1"/>
  <c r="A130" i="3" s="1"/>
  <c r="D84" i="3"/>
  <c r="B75" i="3" l="1"/>
  <c r="B76" i="3" s="1"/>
  <c r="B49" i="2"/>
  <c r="C49" i="2" s="1"/>
  <c r="B61" i="2"/>
  <c r="B101" i="3"/>
  <c r="C74" i="3"/>
  <c r="B155" i="3"/>
  <c r="B151" i="3"/>
  <c r="B148" i="3"/>
  <c r="B147" i="3"/>
  <c r="D101" i="3" l="1"/>
  <c r="E101" i="3" s="1"/>
  <c r="A108" i="3"/>
  <c r="A129" i="3"/>
  <c r="C83" i="2" s="1"/>
  <c r="C91" i="3"/>
  <c r="C79" i="2"/>
  <c r="C113" i="2"/>
  <c r="C128" i="2"/>
  <c r="C121" i="2"/>
  <c r="C109" i="2"/>
  <c r="C75" i="3"/>
  <c r="C76" i="3" s="1"/>
  <c r="C84" i="2"/>
  <c r="B55" i="2" l="1"/>
  <c r="C77" i="3"/>
  <c r="B77" i="3"/>
  <c r="B54" i="2"/>
  <c r="C79" i="3" l="1"/>
  <c r="C81" i="3" s="1"/>
  <c r="C55" i="2"/>
  <c r="B79" i="3"/>
  <c r="B81" i="3" s="1"/>
  <c r="C54" i="2"/>
  <c r="B83" i="3" l="1"/>
  <c r="B84" i="3" s="1"/>
  <c r="B99" i="3"/>
  <c r="D99" i="3" s="1"/>
  <c r="E99" i="3" s="1"/>
  <c r="B98" i="3"/>
  <c r="D98" i="3" s="1"/>
  <c r="E98" i="3" s="1"/>
  <c r="C83" i="3"/>
  <c r="B85" i="3" l="1"/>
  <c r="B90" i="3" s="1"/>
  <c r="A120" i="3" s="1"/>
  <c r="A106" i="3"/>
  <c r="E54" i="2"/>
  <c r="E55" i="2"/>
  <c r="E103" i="3"/>
  <c r="C85" i="3"/>
  <c r="C90" i="3" s="1"/>
  <c r="A128" i="3" s="1"/>
  <c r="C84" i="3"/>
  <c r="B88" i="3" l="1"/>
  <c r="A123" i="3" s="1"/>
  <c r="A119" i="3"/>
  <c r="D88" i="3"/>
  <c r="A125" i="3" s="1"/>
  <c r="C88" i="3"/>
  <c r="A124" i="3" s="1"/>
  <c r="B44" i="2"/>
  <c r="B140" i="3" l="1"/>
  <c r="B141" i="3"/>
  <c r="A107" i="3"/>
  <c r="A112" i="3" s="1"/>
  <c r="A127" i="3"/>
  <c r="C81" i="2" s="1"/>
  <c r="C82" i="2"/>
  <c r="B134" i="3" l="1"/>
  <c r="B142" i="3"/>
  <c r="A143" i="3" s="1"/>
  <c r="C103" i="2" s="1"/>
  <c r="C92" i="2"/>
  <c r="C78" i="2"/>
  <c r="C77" i="2"/>
  <c r="C69" i="2"/>
  <c r="C91" i="2"/>
  <c r="C90" i="2"/>
  <c r="C98" i="2" l="1"/>
</calcChain>
</file>

<file path=xl/sharedStrings.xml><?xml version="1.0" encoding="utf-8"?>
<sst xmlns="http://schemas.openxmlformats.org/spreadsheetml/2006/main" count="300" uniqueCount="182">
  <si>
    <t>CaliLantern Calculator</t>
  </si>
  <si>
    <t>Existing Calibration</t>
  </si>
  <si>
    <t>Skew</t>
  </si>
  <si>
    <t>Use Skew Model:</t>
  </si>
  <si>
    <t>Klipper</t>
  </si>
  <si>
    <t>XY</t>
  </si>
  <si>
    <t>XZ</t>
  </si>
  <si>
    <t>YZ</t>
  </si>
  <si>
    <t>Marlin</t>
  </si>
  <si>
    <t>ZX</t>
  </si>
  <si>
    <t>ZY</t>
  </si>
  <si>
    <t>RRF</t>
  </si>
  <si>
    <t>S</t>
  </si>
  <si>
    <t>X</t>
  </si>
  <si>
    <t>Y</t>
  </si>
  <si>
    <t>Z</t>
  </si>
  <si>
    <t>Measurements</t>
  </si>
  <si>
    <t>(This spreadsheet is locked to prevent accidental modification)</t>
  </si>
  <si>
    <t>Scale</t>
  </si>
  <si>
    <t>(if you have a larger printer, and larger tools, you can print at larger scale)</t>
  </si>
  <si>
    <t>Type</t>
  </si>
  <si>
    <t>Reading 1</t>
  </si>
  <si>
    <t>Reading 2</t>
  </si>
  <si>
    <t>Reading 3</t>
  </si>
  <si>
    <t>Average</t>
  </si>
  <si>
    <t>Status</t>
  </si>
  <si>
    <t>Outer</t>
  </si>
  <si>
    <t>Inner</t>
  </si>
  <si>
    <t>This measurement seems to have been taken correctly.</t>
  </si>
  <si>
    <t>This measurement may have an error. Please Double-check your measurement.</t>
  </si>
  <si>
    <t>Results</t>
  </si>
  <si>
    <t>Score</t>
  </si>
  <si>
    <t>Size</t>
  </si>
  <si>
    <t>Error</t>
  </si>
  <si>
    <t>Correction</t>
  </si>
  <si>
    <t>XY Skew</t>
  </si>
  <si>
    <t>ZX Skew</t>
  </si>
  <si>
    <t>ZY Skew</t>
  </si>
  <si>
    <t>Extrusion</t>
  </si>
  <si>
    <t>Fix Skew</t>
  </si>
  <si>
    <t>Klipper G Code Fix</t>
  </si>
  <si>
    <t>Add</t>
  </si>
  <si>
    <t xml:space="preserve">[skew_correction] </t>
  </si>
  <si>
    <t>to printer.cfg</t>
  </si>
  <si>
    <t>Send Command</t>
  </si>
  <si>
    <t>via console</t>
  </si>
  <si>
    <t>Copy &amp; Paste</t>
  </si>
  <si>
    <t>to end of start G code</t>
  </si>
  <si>
    <t>to start of end G code</t>
  </si>
  <si>
    <t>Marlin Firmware Adjustment</t>
  </si>
  <si>
    <t>to firmware</t>
  </si>
  <si>
    <t>Marlin Firmware Adjustment (alternative)</t>
  </si>
  <si>
    <t>Marlin G-Code Adjustment</t>
  </si>
  <si>
    <t>Ensure</t>
  </si>
  <si>
    <t>in firmware</t>
  </si>
  <si>
    <t>RepRap Firmware Adjustment</t>
  </si>
  <si>
    <t>to config.g</t>
  </si>
  <si>
    <t>Fix Size</t>
  </si>
  <si>
    <t>Material XY shinkage</t>
  </si>
  <si>
    <t>SuperSlicer</t>
  </si>
  <si>
    <t>Current Shrinkage</t>
  </si>
  <si>
    <t>New Shrinkage</t>
  </si>
  <si>
    <t>Cura/PrusaSlicer</t>
  </si>
  <si>
    <t>Current Scale</t>
  </si>
  <si>
    <t>New XY Scale</t>
  </si>
  <si>
    <t>Steps/mm</t>
  </si>
  <si>
    <t>Input your values below</t>
  </si>
  <si>
    <t>Current Steps/mm (X)</t>
  </si>
  <si>
    <t>Current Steps/mm (Y)</t>
  </si>
  <si>
    <t>New Steps/mm (X)</t>
  </si>
  <si>
    <t>New Steps/mm (Y)</t>
  </si>
  <si>
    <t>Rotation Distance</t>
  </si>
  <si>
    <t>Current Rot. Dist. (X)</t>
  </si>
  <si>
    <t>Current Rot. Dist. (Y)</t>
  </si>
  <si>
    <t>New Rot. Dist. (X)</t>
  </si>
  <si>
    <t>New Rot. Dist. (Y)</t>
  </si>
  <si>
    <t>Diagonal</t>
  </si>
  <si>
    <t>In/Out</t>
  </si>
  <si>
    <t>No.</t>
  </si>
  <si>
    <t>Design</t>
  </si>
  <si>
    <t>Read 1</t>
  </si>
  <si>
    <t>Read 2</t>
  </si>
  <si>
    <t>Read 3</t>
  </si>
  <si>
    <t>Measured Avg</t>
  </si>
  <si>
    <t>% Error</t>
  </si>
  <si>
    <t>Abs. Error</t>
  </si>
  <si>
    <t>Mean Qual</t>
  </si>
  <si>
    <t>Reading Range</t>
  </si>
  <si>
    <t>Range Qual.</t>
  </si>
  <si>
    <t>Comment</t>
  </si>
  <si>
    <t>Skew XY</t>
  </si>
  <si>
    <t>Skew ZX</t>
  </si>
  <si>
    <t>Skew ZY</t>
  </si>
  <si>
    <t>OK</t>
  </si>
  <si>
    <t>Not OK</t>
  </si>
  <si>
    <t>Range</t>
  </si>
  <si>
    <t>Mean</t>
  </si>
  <si>
    <t>Validation List</t>
  </si>
  <si>
    <t>None</t>
  </si>
  <si>
    <t>Existing Skew</t>
  </si>
  <si>
    <t>Firmware</t>
  </si>
  <si>
    <t>Skew Factor</t>
  </si>
  <si>
    <t>AB (b)</t>
  </si>
  <si>
    <t>AD (a)</t>
  </si>
  <si>
    <t>AC (c)</t>
  </si>
  <si>
    <t>Skew (degrees)</t>
  </si>
  <si>
    <t>Model Name</t>
  </si>
  <si>
    <t>Half</t>
  </si>
  <si>
    <t>X Travel</t>
  </si>
  <si>
    <t>Y Travel</t>
  </si>
  <si>
    <t>Z Vertical</t>
  </si>
  <si>
    <t>XY Diag</t>
  </si>
  <si>
    <t>X Error</t>
  </si>
  <si>
    <t>Y Error</t>
  </si>
  <si>
    <t>Z Error</t>
  </si>
  <si>
    <t>Big</t>
  </si>
  <si>
    <t>Small</t>
  </si>
  <si>
    <t>Double Big</t>
  </si>
  <si>
    <t>AC</t>
  </si>
  <si>
    <t>BD</t>
  </si>
  <si>
    <t>Set Skew = AC,BD,AD</t>
  </si>
  <si>
    <t>SKEW_PROFILE SAVE=calilantern_skew_profile</t>
  </si>
  <si>
    <t>SAVE_CONFIG</t>
  </si>
  <si>
    <t>SKEW_PROFILE LOAD=calilantern_skew_profile</t>
  </si>
  <si>
    <t>SET_SKEW CLEAR=1</t>
  </si>
  <si>
    <t>AB</t>
  </si>
  <si>
    <t>From Marlin Firmware:</t>
  </si>
  <si>
    <t>Compute AB : SQRT(2*AC*AC+2*BD*BD-4*AD*AD)/2</t>
  </si>
  <si>
    <t>XY_SKEW_FACTOR : TAN(PI/2-ACOS((AC*AC-AB*AB-AD*AD)/(2*AB*AD)))</t>
  </si>
  <si>
    <t>#define SKEW_CORRECTION_GCODE</t>
  </si>
  <si>
    <t>More info on Marlin EEPROM</t>
  </si>
  <si>
    <t>G Code</t>
  </si>
  <si>
    <t>https://marlinfw.org/docs/features/eeprom.html</t>
  </si>
  <si>
    <t>EEPROM</t>
  </si>
  <si>
    <t>M500</t>
  </si>
  <si>
    <t>Example</t>
  </si>
  <si>
    <t>M556 S100 X0.7 Y-0.2 Z0.6</t>
  </si>
  <si>
    <t>XY Value (X)</t>
  </si>
  <si>
    <t>ZX Value (Z)</t>
  </si>
  <si>
    <t>ZY Value (Y)</t>
  </si>
  <si>
    <t>Slicer</t>
  </si>
  <si>
    <t>Superslicer</t>
  </si>
  <si>
    <t>XY Scale</t>
  </si>
  <si>
    <t>Existing Compensation</t>
  </si>
  <si>
    <t>Measured Skew</t>
  </si>
  <si>
    <t>YZ Diag</t>
  </si>
  <si>
    <t>XZ Diag</t>
  </si>
  <si>
    <t>H1 (a)</t>
  </si>
  <si>
    <t>H2 (b)</t>
  </si>
  <si>
    <t>Angle</t>
  </si>
  <si>
    <t>FW. Configured Skew</t>
  </si>
  <si>
    <t>New AC</t>
  </si>
  <si>
    <t>New BD</t>
  </si>
  <si>
    <t>New AD</t>
  </si>
  <si>
    <t>Remove double measurement from Z</t>
  </si>
  <si>
    <t>Shape that reduces contraction skew</t>
  </si>
  <si>
    <t>Calculations validated with 10 degree skewed test object.</t>
  </si>
  <si>
    <t>Reconstructed Skew</t>
  </si>
  <si>
    <t>Next Skew Estimate</t>
  </si>
  <si>
    <t>Firmware Skew Compensation</t>
  </si>
  <si>
    <t>(Pick one)</t>
  </si>
  <si>
    <t>Steps/mm OR Rotation Distance</t>
  </si>
  <si>
    <t>Remove vertical Z measurement. It doesn't shrink in the same way. Calculation assumes perfection</t>
  </si>
  <si>
    <t>A</t>
  </si>
  <si>
    <t>B</t>
  </si>
  <si>
    <t>Skew Calculation</t>
  </si>
  <si>
    <t>V3 CHANGES</t>
  </si>
  <si>
    <t>Design Dimensions</t>
  </si>
  <si>
    <t>Measurement Summary</t>
  </si>
  <si>
    <t>(only use if you these if you have no other option)</t>
  </si>
  <si>
    <t>All Instructions for this document are in the written PDF guide.</t>
  </si>
  <si>
    <t>Old No.</t>
  </si>
  <si>
    <t>XY (9,10)</t>
  </si>
  <si>
    <t>ZX (11,12)</t>
  </si>
  <si>
    <t>ZY (13,14)</t>
  </si>
  <si>
    <t>Stock Data</t>
  </si>
  <si>
    <t>Rounded AC</t>
  </si>
  <si>
    <t>Rounded BD</t>
  </si>
  <si>
    <t>Rounded AD</t>
  </si>
  <si>
    <t>Test Data</t>
  </si>
  <si>
    <t>This measurement very likely has a problem, may have been measured incorrectly.</t>
  </si>
  <si>
    <t>V3.5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</si>
</sst>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\°"/>
    <numFmt numFmtId="165" formatCode="0.0000"/>
    <numFmt numFmtId="166" formatCode="0.000"/>
    <numFmt numFmtId="167" formatCode="#,000"/>
    <numFmt numFmtId="168" formatCode="0.00000000"/>
    <numFmt numFmtId="169" formatCode="0.00000"/>
    <numFmt numFmtId="170" formatCode="0.000%"/>
    <numFmt numFmtId="171" formatCode="0.000000000"/>
    <numFmt numFmtId="172" formatCode="0.000\°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2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double">
        <color theme="2" tint="-0.249977111117893"/>
      </bottom>
      <diagonal/>
    </border>
    <border>
      <left/>
      <right style="double">
        <color theme="2" tint="-0.249977111117893"/>
      </right>
      <top/>
      <bottom/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/>
      <top/>
      <bottom/>
      <diagonal/>
    </border>
    <border>
      <left/>
      <right/>
      <top/>
      <bottom style="double">
        <color theme="6"/>
      </bottom>
      <diagonal/>
    </border>
    <border>
      <left/>
      <right/>
      <top/>
      <bottom style="double">
        <color theme="0" tint="-0.34998626667073579"/>
      </bottom>
      <diagonal/>
    </border>
    <border>
      <left/>
      <right style="double">
        <color theme="0" tint="-0.34998626667073579"/>
      </right>
      <top/>
      <bottom/>
      <diagonal/>
    </border>
    <border>
      <left style="double">
        <color theme="0" tint="-0.34998626667073579"/>
      </left>
      <right style="double">
        <color theme="0" tint="-0.34998626667073579"/>
      </right>
      <top/>
      <bottom/>
      <diagonal/>
    </border>
    <border>
      <left style="double">
        <color theme="0" tint="-0.34998626667073579"/>
      </left>
      <right style="double">
        <color theme="0" tint="-0.34998626667073579"/>
      </right>
      <top style="double">
        <color theme="0" tint="-0.34998626667073579"/>
      </top>
      <bottom/>
      <diagonal/>
    </border>
    <border>
      <left style="double">
        <color theme="2" tint="-0.249977111117893"/>
      </left>
      <right/>
      <top/>
      <bottom style="double">
        <color theme="0" tint="-0.34998626667073579"/>
      </bottom>
      <diagonal/>
    </border>
    <border>
      <left style="double">
        <color theme="2" tint="-0.249977111117893"/>
      </left>
      <right style="double">
        <color theme="0" tint="-0.34998626667073579"/>
      </right>
      <top style="double">
        <color theme="2" tint="-0.249977111117893"/>
      </top>
      <bottom/>
      <diagonal/>
    </border>
    <border>
      <left style="double">
        <color theme="2" tint="-0.249977111117893"/>
      </left>
      <right style="double">
        <color theme="0" tint="-0.34998626667073579"/>
      </right>
      <top/>
      <bottom/>
      <diagonal/>
    </border>
    <border>
      <left style="double">
        <color theme="2" tint="-0.249977111117893"/>
      </left>
      <right style="double">
        <color theme="0" tint="-0.34998626667073579"/>
      </right>
      <top/>
      <bottom style="double">
        <color theme="0" tint="-0.34998626667073579"/>
      </bottom>
      <diagonal/>
    </border>
    <border>
      <left style="double">
        <color theme="0" tint="-0.34998626667073579"/>
      </left>
      <right/>
      <top/>
      <bottom style="double">
        <color theme="0" tint="-0.34998626667073579"/>
      </bottom>
      <diagonal/>
    </border>
    <border>
      <left/>
      <right style="double">
        <color theme="2" tint="-0.249977111117893"/>
      </right>
      <top/>
      <bottom style="double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</cellStyleXfs>
  <cellXfs count="134">
    <xf numFmtId="0" fontId="0" fillId="0" borderId="0" xfId="0"/>
    <xf numFmtId="10" fontId="0" fillId="0" borderId="0" xfId="1" applyNumberFormat="1" applyFont="1" applyAlignment="1">
      <alignment horizontal="center"/>
    </xf>
    <xf numFmtId="2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10" fontId="0" fillId="0" borderId="0" xfId="0" applyNumberFormat="1" applyAlignment="1">
      <alignment horizontal="center"/>
    </xf>
    <xf numFmtId="0" fontId="2" fillId="0" borderId="0" xfId="0" applyFont="1"/>
    <xf numFmtId="0" fontId="0" fillId="0" borderId="0" xfId="0" applyProtection="1">
      <protection locked="0"/>
    </xf>
    <xf numFmtId="2" fontId="0" fillId="0" borderId="0" xfId="0" applyNumberFormat="1" applyAlignment="1">
      <alignment horizontal="center"/>
    </xf>
    <xf numFmtId="2" fontId="0" fillId="0" borderId="0" xfId="1" applyNumberFormat="1" applyFont="1"/>
    <xf numFmtId="2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0" fontId="2" fillId="0" borderId="0" xfId="1" applyNumberFormat="1" applyFont="1" applyAlignment="1">
      <alignment horizontal="center"/>
    </xf>
    <xf numFmtId="0" fontId="0" fillId="0" borderId="0" xfId="0" applyAlignment="1" applyProtection="1">
      <alignment vertical="center"/>
      <protection locked="0"/>
    </xf>
    <xf numFmtId="165" fontId="0" fillId="0" borderId="0" xfId="0" applyNumberFormat="1"/>
    <xf numFmtId="1" fontId="0" fillId="0" borderId="0" xfId="1" applyNumberFormat="1" applyFont="1"/>
    <xf numFmtId="166" fontId="0" fillId="0" borderId="0" xfId="1" applyNumberFormat="1" applyFont="1" applyAlignment="1">
      <alignment horizontal="center"/>
    </xf>
    <xf numFmtId="2" fontId="9" fillId="0" borderId="0" xfId="0" applyNumberFormat="1" applyFont="1" applyAlignment="1">
      <alignment horizontal="right"/>
    </xf>
    <xf numFmtId="1" fontId="0" fillId="0" borderId="0" xfId="1" applyNumberFormat="1" applyFont="1" applyAlignment="1">
      <alignment horizontal="center"/>
    </xf>
    <xf numFmtId="166" fontId="2" fillId="0" borderId="0" xfId="1" applyNumberFormat="1" applyFont="1" applyAlignment="1">
      <alignment horizontal="center"/>
    </xf>
    <xf numFmtId="166" fontId="0" fillId="0" borderId="0" xfId="0" applyNumberFormat="1"/>
    <xf numFmtId="164" fontId="0" fillId="0" borderId="0" xfId="0" applyNumberFormat="1"/>
    <xf numFmtId="165" fontId="0" fillId="0" borderId="0" xfId="1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10" fontId="1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7" fontId="0" fillId="0" borderId="0" xfId="0" applyNumberFormat="1"/>
    <xf numFmtId="168" fontId="0" fillId="0" borderId="0" xfId="0" applyNumberFormat="1"/>
    <xf numFmtId="10" fontId="0" fillId="0" borderId="0" xfId="1" applyNumberFormat="1" applyFont="1" applyAlignment="1">
      <alignment horizontal="right"/>
    </xf>
    <xf numFmtId="165" fontId="0" fillId="0" borderId="0" xfId="0" applyNumberFormat="1" applyAlignment="1">
      <alignment horizontal="center"/>
    </xf>
    <xf numFmtId="1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0" fontId="2" fillId="0" borderId="0" xfId="1" applyNumberFormat="1" applyFont="1" applyAlignment="1">
      <alignment horizontal="left"/>
    </xf>
    <xf numFmtId="170" fontId="0" fillId="0" borderId="0" xfId="0" applyNumberFormat="1"/>
    <xf numFmtId="0" fontId="0" fillId="0" borderId="0" xfId="0" applyAlignment="1">
      <alignment horizontal="right" vertical="center"/>
    </xf>
    <xf numFmtId="171" fontId="0" fillId="0" borderId="0" xfId="0" applyNumberFormat="1" applyAlignment="1">
      <alignment horizontal="center"/>
    </xf>
    <xf numFmtId="0" fontId="0" fillId="5" borderId="0" xfId="0" applyFill="1"/>
    <xf numFmtId="2" fontId="0" fillId="5" borderId="0" xfId="0" applyNumberFormat="1" applyFill="1"/>
    <xf numFmtId="169" fontId="0" fillId="5" borderId="0" xfId="0" applyNumberFormat="1" applyFill="1"/>
    <xf numFmtId="0" fontId="11" fillId="0" borderId="0" xfId="0" applyFont="1"/>
    <xf numFmtId="9" fontId="0" fillId="0" borderId="0" xfId="1" applyFont="1"/>
    <xf numFmtId="166" fontId="0" fillId="5" borderId="0" xfId="0" applyNumberFormat="1" applyFill="1"/>
    <xf numFmtId="169" fontId="0" fillId="0" borderId="0" xfId="0" applyNumberFormat="1"/>
    <xf numFmtId="9" fontId="0" fillId="0" borderId="0" xfId="1" applyFont="1" applyFill="1"/>
    <xf numFmtId="166" fontId="2" fillId="0" borderId="0" xfId="0" applyNumberFormat="1" applyFont="1"/>
    <xf numFmtId="165" fontId="2" fillId="0" borderId="0" xfId="0" applyNumberFormat="1" applyFont="1"/>
    <xf numFmtId="0" fontId="8" fillId="0" borderId="0" xfId="0" applyFont="1" applyAlignment="1">
      <alignment vertical="center" textRotation="60"/>
    </xf>
    <xf numFmtId="2" fontId="6" fillId="4" borderId="0" xfId="4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 vertical="center"/>
    </xf>
    <xf numFmtId="168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3" fillId="6" borderId="0" xfId="0" applyFont="1" applyFill="1"/>
    <xf numFmtId="0" fontId="14" fillId="6" borderId="0" xfId="0" applyFont="1" applyFill="1"/>
    <xf numFmtId="0" fontId="13" fillId="6" borderId="0" xfId="0" applyFont="1" applyFill="1" applyAlignment="1">
      <alignment horizontal="right" vertical="center"/>
    </xf>
    <xf numFmtId="0" fontId="15" fillId="6" borderId="0" xfId="0" applyFont="1" applyFill="1"/>
    <xf numFmtId="0" fontId="16" fillId="6" borderId="0" xfId="0" applyFont="1" applyFill="1"/>
    <xf numFmtId="0" fontId="17" fillId="6" borderId="0" xfId="0" applyFont="1" applyFill="1"/>
    <xf numFmtId="0" fontId="12" fillId="6" borderId="0" xfId="0" applyFont="1" applyFill="1"/>
    <xf numFmtId="0" fontId="13" fillId="6" borderId="16" xfId="0" applyFont="1" applyFill="1" applyBorder="1" applyProtection="1">
      <protection locked="0"/>
    </xf>
    <xf numFmtId="0" fontId="13" fillId="6" borderId="0" xfId="0" applyFont="1" applyFill="1" applyAlignment="1">
      <alignment horizontal="center"/>
    </xf>
    <xf numFmtId="0" fontId="18" fillId="6" borderId="1" xfId="0" applyFont="1" applyFill="1" applyBorder="1" applyAlignment="1">
      <alignment horizontal="center"/>
    </xf>
    <xf numFmtId="168" fontId="13" fillId="6" borderId="0" xfId="0" applyNumberFormat="1" applyFont="1" applyFill="1" applyAlignment="1" applyProtection="1">
      <alignment horizontal="center"/>
      <protection locked="0"/>
    </xf>
    <xf numFmtId="168" fontId="13" fillId="6" borderId="4" xfId="0" applyNumberFormat="1" applyFont="1" applyFill="1" applyBorder="1" applyAlignment="1" applyProtection="1">
      <alignment horizontal="center"/>
      <protection locked="0"/>
    </xf>
    <xf numFmtId="0" fontId="13" fillId="6" borderId="0" xfId="0" applyFont="1" applyFill="1" applyAlignment="1">
      <alignment vertical="center"/>
    </xf>
    <xf numFmtId="0" fontId="13" fillId="6" borderId="0" xfId="0" applyFont="1" applyFill="1" applyAlignment="1">
      <alignment horizontal="left"/>
    </xf>
    <xf numFmtId="0" fontId="18" fillId="6" borderId="6" xfId="0" applyFont="1" applyFill="1" applyBorder="1" applyAlignment="1">
      <alignment horizontal="center"/>
    </xf>
    <xf numFmtId="169" fontId="13" fillId="6" borderId="7" xfId="0" applyNumberFormat="1" applyFont="1" applyFill="1" applyBorder="1" applyAlignment="1" applyProtection="1">
      <alignment horizontal="center"/>
      <protection locked="0"/>
    </xf>
    <xf numFmtId="169" fontId="13" fillId="6" borderId="9" xfId="0" applyNumberFormat="1" applyFont="1" applyFill="1" applyBorder="1" applyAlignment="1" applyProtection="1">
      <alignment horizontal="center"/>
      <protection locked="0"/>
    </xf>
    <xf numFmtId="169" fontId="13" fillId="6" borderId="0" xfId="0" applyNumberFormat="1" applyFont="1" applyFill="1" applyAlignment="1" applyProtection="1">
      <alignment horizontal="center"/>
      <protection locked="0"/>
    </xf>
    <xf numFmtId="0" fontId="13" fillId="6" borderId="7" xfId="0" applyFont="1" applyFill="1" applyBorder="1" applyAlignment="1" applyProtection="1">
      <alignment horizontal="center"/>
      <protection locked="0"/>
    </xf>
    <xf numFmtId="165" fontId="13" fillId="6" borderId="8" xfId="0" applyNumberFormat="1" applyFont="1" applyFill="1" applyBorder="1" applyAlignment="1" applyProtection="1">
      <alignment horizontal="center"/>
      <protection locked="0"/>
    </xf>
    <xf numFmtId="165" fontId="13" fillId="6" borderId="0" xfId="0" applyNumberFormat="1" applyFont="1" applyFill="1" applyAlignment="1" applyProtection="1">
      <alignment horizontal="center"/>
      <protection locked="0"/>
    </xf>
    <xf numFmtId="0" fontId="19" fillId="6" borderId="0" xfId="0" quotePrefix="1" applyFont="1" applyFill="1" applyAlignment="1">
      <alignment horizontal="left" vertical="center"/>
    </xf>
    <xf numFmtId="0" fontId="19" fillId="6" borderId="0" xfId="0" applyFont="1" applyFill="1"/>
    <xf numFmtId="0" fontId="18" fillId="6" borderId="0" xfId="0" applyFont="1" applyFill="1" applyAlignment="1">
      <alignment horizontal="right" vertical="center"/>
    </xf>
    <xf numFmtId="9" fontId="13" fillId="6" borderId="0" xfId="1" applyFont="1" applyFill="1" applyBorder="1" applyAlignment="1" applyProtection="1">
      <alignment horizontal="center" vertical="center"/>
      <protection locked="0"/>
    </xf>
    <xf numFmtId="0" fontId="19" fillId="6" borderId="0" xfId="0" applyFont="1" applyFill="1" applyAlignment="1">
      <alignment vertical="center"/>
    </xf>
    <xf numFmtId="0" fontId="15" fillId="6" borderId="6" xfId="0" applyFont="1" applyFill="1" applyBorder="1"/>
    <xf numFmtId="0" fontId="18" fillId="6" borderId="5" xfId="0" applyFont="1" applyFill="1" applyBorder="1" applyAlignment="1">
      <alignment horizontal="center"/>
    </xf>
    <xf numFmtId="0" fontId="18" fillId="6" borderId="2" xfId="0" applyFont="1" applyFill="1" applyBorder="1" applyAlignment="1">
      <alignment horizontal="center"/>
    </xf>
    <xf numFmtId="2" fontId="13" fillId="6" borderId="4" xfId="0" applyNumberFormat="1" applyFont="1" applyFill="1" applyBorder="1" applyAlignment="1" applyProtection="1">
      <alignment horizontal="center"/>
      <protection locked="0"/>
    </xf>
    <xf numFmtId="2" fontId="13" fillId="6" borderId="0" xfId="0" applyNumberFormat="1" applyFont="1" applyFill="1" applyAlignment="1" applyProtection="1">
      <alignment horizontal="center"/>
      <protection locked="0"/>
    </xf>
    <xf numFmtId="2" fontId="20" fillId="6" borderId="11" xfId="0" applyNumberFormat="1" applyFont="1" applyFill="1" applyBorder="1" applyAlignment="1">
      <alignment horizontal="center"/>
    </xf>
    <xf numFmtId="2" fontId="13" fillId="6" borderId="0" xfId="0" applyNumberFormat="1" applyFont="1" applyFill="1" applyAlignment="1">
      <alignment horizontal="center"/>
    </xf>
    <xf numFmtId="2" fontId="20" fillId="6" borderId="12" xfId="0" applyNumberFormat="1" applyFont="1" applyFill="1" applyBorder="1" applyAlignment="1">
      <alignment horizontal="center"/>
    </xf>
    <xf numFmtId="0" fontId="18" fillId="6" borderId="15" xfId="0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/>
    </xf>
    <xf numFmtId="2" fontId="13" fillId="6" borderId="10" xfId="0" applyNumberFormat="1" applyFont="1" applyFill="1" applyBorder="1" applyAlignment="1" applyProtection="1">
      <alignment horizontal="center"/>
      <protection locked="0"/>
    </xf>
    <xf numFmtId="2" fontId="13" fillId="6" borderId="6" xfId="0" applyNumberFormat="1" applyFont="1" applyFill="1" applyBorder="1" applyAlignment="1" applyProtection="1">
      <alignment horizontal="center"/>
      <protection locked="0"/>
    </xf>
    <xf numFmtId="2" fontId="20" fillId="6" borderId="13" xfId="0" applyNumberFormat="1" applyFont="1" applyFill="1" applyBorder="1" applyAlignment="1">
      <alignment horizontal="center"/>
    </xf>
    <xf numFmtId="2" fontId="13" fillId="6" borderId="14" xfId="0" applyNumberFormat="1" applyFont="1" applyFill="1" applyBorder="1" applyAlignment="1">
      <alignment horizontal="center"/>
    </xf>
    <xf numFmtId="0" fontId="13" fillId="6" borderId="0" xfId="2" applyFont="1" applyFill="1" applyBorder="1"/>
    <xf numFmtId="0" fontId="13" fillId="6" borderId="0" xfId="4" applyFont="1" applyFill="1" applyBorder="1"/>
    <xf numFmtId="0" fontId="13" fillId="6" borderId="0" xfId="3" applyFont="1" applyFill="1" applyBorder="1"/>
    <xf numFmtId="0" fontId="21" fillId="6" borderId="0" xfId="0" applyFont="1" applyFill="1"/>
    <xf numFmtId="0" fontId="22" fillId="6" borderId="0" xfId="0" applyFont="1" applyFill="1"/>
    <xf numFmtId="1" fontId="22" fillId="6" borderId="0" xfId="0" applyNumberFormat="1" applyFont="1" applyFill="1" applyAlignment="1">
      <alignment horizontal="center" vertical="center"/>
    </xf>
    <xf numFmtId="0" fontId="13" fillId="6" borderId="2" xfId="0" applyFont="1" applyFill="1" applyBorder="1"/>
    <xf numFmtId="0" fontId="18" fillId="6" borderId="3" xfId="0" applyFont="1" applyFill="1" applyBorder="1" applyAlignment="1">
      <alignment horizontal="center"/>
    </xf>
    <xf numFmtId="0" fontId="23" fillId="6" borderId="0" xfId="0" applyFont="1" applyFill="1" applyAlignment="1">
      <alignment vertical="top"/>
    </xf>
    <xf numFmtId="10" fontId="13" fillId="6" borderId="0" xfId="0" applyNumberFormat="1" applyFont="1" applyFill="1" applyAlignment="1">
      <alignment horizontal="center"/>
    </xf>
    <xf numFmtId="10" fontId="13" fillId="6" borderId="0" xfId="1" applyNumberFormat="1" applyFont="1" applyFill="1" applyBorder="1" applyAlignment="1">
      <alignment horizontal="center"/>
    </xf>
    <xf numFmtId="0" fontId="18" fillId="6" borderId="0" xfId="0" applyFont="1" applyFill="1" applyAlignment="1">
      <alignment horizontal="center"/>
    </xf>
    <xf numFmtId="0" fontId="18" fillId="6" borderId="3" xfId="0" applyFont="1" applyFill="1" applyBorder="1" applyAlignment="1">
      <alignment horizontal="center" wrapText="1"/>
    </xf>
    <xf numFmtId="0" fontId="24" fillId="6" borderId="0" xfId="0" applyFont="1" applyFill="1" applyAlignment="1">
      <alignment horizontal="center" wrapText="1"/>
    </xf>
    <xf numFmtId="0" fontId="18" fillId="6" borderId="0" xfId="0" applyFont="1" applyFill="1" applyAlignment="1">
      <alignment horizontal="center" wrapText="1"/>
    </xf>
    <xf numFmtId="164" fontId="13" fillId="6" borderId="0" xfId="0" applyNumberFormat="1" applyFont="1" applyFill="1" applyAlignment="1">
      <alignment horizontal="center"/>
    </xf>
    <xf numFmtId="172" fontId="13" fillId="6" borderId="0" xfId="0" applyNumberFormat="1" applyFont="1" applyFill="1" applyAlignment="1">
      <alignment horizontal="center"/>
    </xf>
    <xf numFmtId="166" fontId="13" fillId="6" borderId="0" xfId="0" applyNumberFormat="1" applyFont="1" applyFill="1"/>
    <xf numFmtId="0" fontId="13" fillId="6" borderId="0" xfId="0" applyFont="1" applyFill="1" applyAlignment="1">
      <alignment vertical="top"/>
    </xf>
    <xf numFmtId="0" fontId="25" fillId="6" borderId="0" xfId="0" applyFont="1" applyFill="1" applyAlignment="1">
      <alignment horizontal="left" vertical="center"/>
    </xf>
    <xf numFmtId="0" fontId="13" fillId="6" borderId="0" xfId="0" applyFont="1" applyFill="1" applyAlignment="1" applyProtection="1">
      <alignment vertical="center"/>
      <protection locked="0"/>
    </xf>
    <xf numFmtId="0" fontId="20" fillId="6" borderId="0" xfId="0" applyFont="1" applyFill="1" applyAlignment="1">
      <alignment vertical="center"/>
    </xf>
    <xf numFmtId="0" fontId="25" fillId="6" borderId="0" xfId="0" applyFont="1" applyFill="1" applyAlignment="1">
      <alignment horizontal="left"/>
    </xf>
    <xf numFmtId="0" fontId="23" fillId="6" borderId="0" xfId="0" applyFont="1" applyFill="1"/>
    <xf numFmtId="0" fontId="13" fillId="6" borderId="0" xfId="0" applyFont="1" applyFill="1" applyProtection="1">
      <protection locked="0"/>
    </xf>
    <xf numFmtId="0" fontId="20" fillId="6" borderId="0" xfId="0" applyFont="1" applyFill="1"/>
    <xf numFmtId="0" fontId="20" fillId="6" borderId="2" xfId="0" applyFont="1" applyFill="1" applyBorder="1" applyAlignment="1">
      <alignment horizontal="right"/>
    </xf>
    <xf numFmtId="0" fontId="13" fillId="6" borderId="0" xfId="0" applyFont="1" applyFill="1" applyAlignment="1" applyProtection="1">
      <alignment horizontal="center"/>
      <protection locked="0"/>
    </xf>
    <xf numFmtId="10" fontId="13" fillId="6" borderId="0" xfId="1" applyNumberFormat="1" applyFont="1" applyFill="1" applyBorder="1" applyAlignment="1" applyProtection="1">
      <alignment horizontal="center"/>
      <protection locked="0"/>
    </xf>
    <xf numFmtId="0" fontId="25" fillId="6" borderId="0" xfId="0" applyFont="1" applyFill="1"/>
    <xf numFmtId="0" fontId="19" fillId="6" borderId="3" xfId="0" applyFont="1" applyFill="1" applyBorder="1" applyAlignment="1">
      <alignment horizontal="center"/>
    </xf>
    <xf numFmtId="2" fontId="13" fillId="6" borderId="0" xfId="0" applyNumberFormat="1" applyFont="1" applyFill="1"/>
    <xf numFmtId="0" fontId="20" fillId="6" borderId="0" xfId="0" applyFont="1" applyFill="1" applyAlignment="1">
      <alignment horizontal="right"/>
    </xf>
    <xf numFmtId="0" fontId="8" fillId="0" borderId="0" xfId="0" applyFont="1" applyAlignment="1">
      <alignment horizontal="center" vertical="center"/>
    </xf>
  </cellXfs>
  <cellStyles count="5">
    <cellStyle name="Bad" xfId="3" builtinId="27"/>
    <cellStyle name="Good" xfId="2" builtinId="26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7" Type="http://schemas.microsoft.com/office/2007/relationships/hdphoto" Target="../media/hdphoto3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174340</xdr:rowOff>
    </xdr:from>
    <xdr:to>
      <xdr:col>1</xdr:col>
      <xdr:colOff>784397</xdr:colOff>
      <xdr:row>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B6FF09-7BC3-A9F3-E269-06D6E98A0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7650" y="174340"/>
          <a:ext cx="1422572" cy="711486"/>
        </a:xfrm>
        <a:prstGeom prst="rect">
          <a:avLst/>
        </a:prstGeom>
      </xdr:spPr>
    </xdr:pic>
    <xdr:clientData/>
  </xdr:twoCellAnchor>
  <xdr:twoCellAnchor editAs="oneCell">
    <xdr:from>
      <xdr:col>7</xdr:col>
      <xdr:colOff>182218</xdr:colOff>
      <xdr:row>22</xdr:row>
      <xdr:rowOff>6754</xdr:rowOff>
    </xdr:from>
    <xdr:to>
      <xdr:col>12</xdr:col>
      <xdr:colOff>88783</xdr:colOff>
      <xdr:row>40</xdr:row>
      <xdr:rowOff>153281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A6A94CD-8639-9091-4F2B-2E681D73E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183218" y="5074054"/>
          <a:ext cx="3697515" cy="3785077"/>
        </a:xfrm>
        <a:prstGeom prst="rect">
          <a:avLst/>
        </a:prstGeom>
      </xdr:spPr>
    </xdr:pic>
    <xdr:clientData/>
  </xdr:twoCellAnchor>
  <xdr:twoCellAnchor editAs="oneCell">
    <xdr:from>
      <xdr:col>12</xdr:col>
      <xdr:colOff>523631</xdr:colOff>
      <xdr:row>30</xdr:row>
      <xdr:rowOff>34713</xdr:rowOff>
    </xdr:from>
    <xdr:to>
      <xdr:col>18</xdr:col>
      <xdr:colOff>554434</xdr:colOff>
      <xdr:row>44</xdr:row>
      <xdr:rowOff>16810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206A3DD-B26D-E99A-28C1-0789935DC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15581" y="6749838"/>
          <a:ext cx="3688403" cy="2906272"/>
        </a:xfrm>
        <a:prstGeom prst="rect">
          <a:avLst/>
        </a:prstGeom>
      </xdr:spPr>
    </xdr:pic>
    <xdr:clientData/>
  </xdr:twoCellAnchor>
  <xdr:twoCellAnchor editAs="oneCell">
    <xdr:from>
      <xdr:col>12</xdr:col>
      <xdr:colOff>480393</xdr:colOff>
      <xdr:row>15</xdr:row>
      <xdr:rowOff>111412</xdr:rowOff>
    </xdr:from>
    <xdr:to>
      <xdr:col>18</xdr:col>
      <xdr:colOff>538370</xdr:colOff>
      <xdr:row>29</xdr:row>
      <xdr:rowOff>75800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D58768A-3969-A93D-CD6D-1258FB810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72343" y="3654712"/>
          <a:ext cx="3715577" cy="29361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797217</xdr:colOff>
      <xdr:row>72</xdr:row>
      <xdr:rowOff>119986</xdr:rowOff>
    </xdr:from>
    <xdr:to>
      <xdr:col>15</xdr:col>
      <xdr:colOff>260055</xdr:colOff>
      <xdr:row>82</xdr:row>
      <xdr:rowOff>88046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2AE30453-D495-1CD4-30A2-ED2DADAFB6D0}"/>
            </a:ext>
          </a:extLst>
        </xdr:cNvPr>
        <xdr:cNvGrpSpPr/>
      </xdr:nvGrpSpPr>
      <xdr:grpSpPr>
        <a:xfrm>
          <a:off x="12295253" y="14026486"/>
          <a:ext cx="3286445" cy="1873060"/>
          <a:chOff x="3589610" y="762000"/>
          <a:chExt cx="3582715" cy="3235819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8F5A8DDE-780E-F244-4698-DFACA9439B17}"/>
              </a:ext>
            </a:extLst>
          </xdr:cNvPr>
          <xdr:cNvSpPr/>
        </xdr:nvSpPr>
        <xdr:spPr>
          <a:xfrm>
            <a:off x="4543425" y="762000"/>
            <a:ext cx="2628900" cy="2628900"/>
          </a:xfrm>
          <a:prstGeom prst="rect">
            <a:avLst/>
          </a:prstGeom>
          <a:noFill/>
          <a:ln w="38100">
            <a:solidFill>
              <a:schemeClr val="accent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95D5F73F-73EE-BE46-7EE4-B2D546EDBC81}"/>
              </a:ext>
            </a:extLst>
          </xdr:cNvPr>
          <xdr:cNvCxnSpPr/>
        </xdr:nvCxnSpPr>
        <xdr:spPr>
          <a:xfrm flipV="1">
            <a:off x="4552950" y="838200"/>
            <a:ext cx="2524125" cy="2552700"/>
          </a:xfrm>
          <a:prstGeom prst="straightConnector1">
            <a:avLst/>
          </a:prstGeom>
          <a:ln w="57150">
            <a:solidFill>
              <a:schemeClr val="accent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7488A567-9A16-1814-C8C1-29FAD49DB516}"/>
              </a:ext>
            </a:extLst>
          </xdr:cNvPr>
          <xdr:cNvCxnSpPr/>
        </xdr:nvCxnSpPr>
        <xdr:spPr>
          <a:xfrm flipH="1" flipV="1">
            <a:off x="4600575" y="809625"/>
            <a:ext cx="2495550" cy="2514600"/>
          </a:xfrm>
          <a:prstGeom prst="straightConnector1">
            <a:avLst/>
          </a:prstGeom>
          <a:ln w="57150">
            <a:solidFill>
              <a:schemeClr val="accent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F9EA9843-5A67-FEF3-B3DE-1ADB3262E00E}"/>
              </a:ext>
            </a:extLst>
          </xdr:cNvPr>
          <xdr:cNvSpPr txBox="1"/>
        </xdr:nvSpPr>
        <xdr:spPr>
          <a:xfrm>
            <a:off x="3589610" y="1158397"/>
            <a:ext cx="866329" cy="87995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2400"/>
              <a:t>y,z,z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5781BA62-D818-4468-95EE-C1D861DE718E}"/>
              </a:ext>
            </a:extLst>
          </xdr:cNvPr>
          <xdr:cNvSpPr txBox="1"/>
        </xdr:nvSpPr>
        <xdr:spPr>
          <a:xfrm>
            <a:off x="5514977" y="3206477"/>
            <a:ext cx="974957" cy="79134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2400"/>
              <a:t>x,x,y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6B9F9516-5DDC-4F4B-867F-A597BDD93585}"/>
              </a:ext>
            </a:extLst>
          </xdr:cNvPr>
          <xdr:cNvSpPr txBox="1"/>
        </xdr:nvSpPr>
        <xdr:spPr>
          <a:xfrm>
            <a:off x="5006948" y="2215471"/>
            <a:ext cx="508028" cy="55630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GB" sz="2400"/>
              <a:t>a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6E65A258-B99A-4968-976F-D1594AAD3B53}"/>
              </a:ext>
            </a:extLst>
          </xdr:cNvPr>
          <xdr:cNvSpPr txBox="1"/>
        </xdr:nvSpPr>
        <xdr:spPr>
          <a:xfrm>
            <a:off x="6327964" y="2182437"/>
            <a:ext cx="558609" cy="57981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GB" sz="2400"/>
              <a:t>b</a:t>
            </a:r>
          </a:p>
        </xdr:txBody>
      </xdr:sp>
    </xdr:grpSp>
    <xdr:clientData/>
  </xdr:twoCellAnchor>
  <xdr:twoCellAnchor>
    <xdr:from>
      <xdr:col>6</xdr:col>
      <xdr:colOff>578544</xdr:colOff>
      <xdr:row>69</xdr:row>
      <xdr:rowOff>72438</xdr:rowOff>
    </xdr:from>
    <xdr:to>
      <xdr:col>9</xdr:col>
      <xdr:colOff>811307</xdr:colOff>
      <xdr:row>86</xdr:row>
      <xdr:rowOff>108857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B6965757-6536-98D9-E17C-ECD047B801A5}"/>
            </a:ext>
          </a:extLst>
        </xdr:cNvPr>
        <xdr:cNvGrpSpPr/>
      </xdr:nvGrpSpPr>
      <xdr:grpSpPr>
        <a:xfrm>
          <a:off x="8062473" y="13407438"/>
          <a:ext cx="2559584" cy="3274919"/>
          <a:chOff x="14015197" y="5813051"/>
          <a:chExt cx="2153771" cy="3354481"/>
        </a:xfrm>
      </xdr:grpSpPr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778DF4EC-F025-0420-C047-C7DB26360A84}"/>
              </a:ext>
            </a:extLst>
          </xdr:cNvPr>
          <xdr:cNvCxnSpPr/>
        </xdr:nvCxnSpPr>
        <xdr:spPr>
          <a:xfrm flipV="1">
            <a:off x="15115054" y="6003551"/>
            <a:ext cx="0" cy="3163981"/>
          </a:xfrm>
          <a:prstGeom prst="line">
            <a:avLst/>
          </a:prstGeom>
          <a:ln w="57150">
            <a:prstDash val="sysDash"/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14F62C70-8F54-4070-842B-D426B305B1E5}"/>
              </a:ext>
            </a:extLst>
          </xdr:cNvPr>
          <xdr:cNvCxnSpPr/>
        </xdr:nvCxnSpPr>
        <xdr:spPr>
          <a:xfrm flipV="1">
            <a:off x="15096004" y="6127376"/>
            <a:ext cx="1072964" cy="3002056"/>
          </a:xfrm>
          <a:prstGeom prst="line">
            <a:avLst/>
          </a:prstGeom>
          <a:ln w="57150"/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5332A8FC-7401-4740-96C0-9F72DD28FD5D}"/>
              </a:ext>
            </a:extLst>
          </xdr:cNvPr>
          <xdr:cNvCxnSpPr/>
        </xdr:nvCxnSpPr>
        <xdr:spPr>
          <a:xfrm flipH="1" flipV="1">
            <a:off x="14015197" y="6127376"/>
            <a:ext cx="1099857" cy="3002056"/>
          </a:xfrm>
          <a:prstGeom prst="line">
            <a:avLst/>
          </a:prstGeom>
          <a:ln w="57150"/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Straight Arrow Connector 20">
            <a:extLst>
              <a:ext uri="{FF2B5EF4-FFF2-40B4-BE49-F238E27FC236}">
                <a16:creationId xmlns:a16="http://schemas.microsoft.com/office/drawing/2014/main" id="{6E625D10-958E-579F-F683-721E6F36426B}"/>
              </a:ext>
            </a:extLst>
          </xdr:cNvPr>
          <xdr:cNvCxnSpPr/>
        </xdr:nvCxnSpPr>
        <xdr:spPr>
          <a:xfrm>
            <a:off x="15115054" y="6155951"/>
            <a:ext cx="872939" cy="257175"/>
          </a:xfrm>
          <a:prstGeom prst="straightConnector1">
            <a:avLst/>
          </a:prstGeom>
          <a:ln w="38100"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Straight Arrow Connector 21">
            <a:extLst>
              <a:ext uri="{FF2B5EF4-FFF2-40B4-BE49-F238E27FC236}">
                <a16:creationId xmlns:a16="http://schemas.microsoft.com/office/drawing/2014/main" id="{4DDC44CF-413A-4F88-ADA0-7C7A03054C83}"/>
              </a:ext>
            </a:extLst>
          </xdr:cNvPr>
          <xdr:cNvCxnSpPr/>
        </xdr:nvCxnSpPr>
        <xdr:spPr>
          <a:xfrm flipH="1">
            <a:off x="14119972" y="6165476"/>
            <a:ext cx="985557" cy="219075"/>
          </a:xfrm>
          <a:prstGeom prst="straightConnector1">
            <a:avLst/>
          </a:prstGeom>
          <a:ln w="38100"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7A97491-B2D1-4A3E-8800-C127157EEC0C}"/>
              </a:ext>
            </a:extLst>
          </xdr:cNvPr>
          <xdr:cNvSpPr txBox="1"/>
        </xdr:nvSpPr>
        <xdr:spPr>
          <a:xfrm>
            <a:off x="15467479" y="5832101"/>
            <a:ext cx="606239" cy="3208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GB" sz="2400"/>
              <a:t>-ve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8DADAE95-68F2-4053-8CCD-6F6831D838D8}"/>
              </a:ext>
            </a:extLst>
          </xdr:cNvPr>
          <xdr:cNvSpPr txBox="1"/>
        </xdr:nvSpPr>
        <xdr:spPr>
          <a:xfrm>
            <a:off x="14205697" y="5813051"/>
            <a:ext cx="690282" cy="3208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GB" sz="2400"/>
              <a:t>+ve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E97B-484C-49CC-958C-1D8C3FE146D4}">
  <sheetPr codeName="Sheet1"/>
  <dimension ref="A1:Q129"/>
  <sheetViews>
    <sheetView showGridLines="0" tabSelected="1" topLeftCell="A9" zoomScaleNormal="100" workbookViewId="0">
      <selection activeCell="C6" sqref="C6"/>
    </sheetView>
  </sheetViews>
  <sheetFormatPr defaultRowHeight="15" x14ac:dyDescent="0.25"/>
  <cols>
    <col min="1" max="1" width="13.28515625" style="60" customWidth="1"/>
    <col min="2" max="5" width="18.28515625" style="60" customWidth="1"/>
    <col min="6" max="6" width="22.42578125" style="60" customWidth="1"/>
    <col min="7" max="7" width="11.140625" style="60" customWidth="1"/>
    <col min="8" max="8" width="20.28515625" style="60" customWidth="1"/>
    <col min="9" max="16384" width="9.140625" style="60"/>
  </cols>
  <sheetData>
    <row r="1" spans="1:8" ht="36" x14ac:dyDescent="0.55000000000000004">
      <c r="C1" s="61" t="s">
        <v>0</v>
      </c>
      <c r="F1" s="62" t="s">
        <v>181</v>
      </c>
    </row>
    <row r="2" spans="1:8" s="63" customFormat="1" ht="23.25" x14ac:dyDescent="0.35">
      <c r="C2" s="64" t="s">
        <v>170</v>
      </c>
    </row>
    <row r="3" spans="1:8" s="63" customFormat="1" ht="23.25" x14ac:dyDescent="0.35"/>
    <row r="4" spans="1:8" s="63" customFormat="1" ht="23.25" x14ac:dyDescent="0.35">
      <c r="A4" s="65" t="s">
        <v>1</v>
      </c>
    </row>
    <row r="5" spans="1:8" ht="15.75" customHeight="1" x14ac:dyDescent="0.25">
      <c r="B5" s="66" t="s">
        <v>2</v>
      </c>
    </row>
    <row r="6" spans="1:8" ht="15.75" customHeight="1" x14ac:dyDescent="0.25">
      <c r="B6" s="60" t="s">
        <v>3</v>
      </c>
      <c r="C6" s="67" t="s">
        <v>98</v>
      </c>
      <c r="F6" s="68"/>
    </row>
    <row r="7" spans="1:8" ht="15.75" customHeight="1" x14ac:dyDescent="0.25">
      <c r="F7" s="68"/>
    </row>
    <row r="8" spans="1:8" ht="15.75" customHeight="1" x14ac:dyDescent="0.25">
      <c r="A8" s="66" t="s">
        <v>4</v>
      </c>
      <c r="F8" s="68"/>
    </row>
    <row r="9" spans="1:8" ht="15.75" customHeight="1" thickBot="1" x14ac:dyDescent="0.3">
      <c r="B9" s="69" t="s">
        <v>5</v>
      </c>
      <c r="C9" s="69" t="s">
        <v>6</v>
      </c>
      <c r="D9" s="69" t="s">
        <v>7</v>
      </c>
    </row>
    <row r="10" spans="1:8" ht="15.75" customHeight="1" thickTop="1" x14ac:dyDescent="0.25">
      <c r="A10" s="66"/>
      <c r="B10" s="70">
        <v>0</v>
      </c>
      <c r="C10" s="71">
        <v>0</v>
      </c>
      <c r="D10" s="71">
        <v>0</v>
      </c>
      <c r="F10" s="68"/>
      <c r="H10" s="72"/>
    </row>
    <row r="11" spans="1:8" ht="15.75" customHeight="1" x14ac:dyDescent="0.25">
      <c r="A11" s="66"/>
      <c r="C11" s="73"/>
      <c r="D11" s="68"/>
      <c r="E11" s="68"/>
      <c r="F11" s="68"/>
    </row>
    <row r="12" spans="1:8" ht="15.75" customHeight="1" thickBot="1" x14ac:dyDescent="0.3">
      <c r="A12" s="66" t="s">
        <v>8</v>
      </c>
      <c r="B12" s="74" t="s">
        <v>5</v>
      </c>
      <c r="C12" s="74" t="s">
        <v>9</v>
      </c>
      <c r="D12" s="74" t="s">
        <v>10</v>
      </c>
      <c r="E12" s="68"/>
    </row>
    <row r="13" spans="1:8" ht="15.75" customHeight="1" thickTop="1" x14ac:dyDescent="0.25">
      <c r="A13" s="66"/>
      <c r="B13" s="75">
        <v>0</v>
      </c>
      <c r="C13" s="76">
        <v>0</v>
      </c>
      <c r="D13" s="77">
        <v>0</v>
      </c>
      <c r="E13" s="68"/>
    </row>
    <row r="14" spans="1:8" ht="15.75" customHeight="1" x14ac:dyDescent="0.25">
      <c r="A14" s="66"/>
      <c r="C14" s="73"/>
      <c r="D14" s="68"/>
      <c r="E14" s="68"/>
      <c r="F14" s="68"/>
    </row>
    <row r="15" spans="1:8" ht="15.75" customHeight="1" thickBot="1" x14ac:dyDescent="0.3">
      <c r="A15" s="66" t="s">
        <v>11</v>
      </c>
      <c r="B15" s="74" t="s">
        <v>12</v>
      </c>
      <c r="C15" s="74" t="s">
        <v>13</v>
      </c>
      <c r="D15" s="74" t="s">
        <v>14</v>
      </c>
      <c r="E15" s="74" t="s">
        <v>15</v>
      </c>
    </row>
    <row r="16" spans="1:8" ht="15.75" customHeight="1" thickTop="1" x14ac:dyDescent="0.25">
      <c r="B16" s="78">
        <v>100</v>
      </c>
      <c r="C16" s="79">
        <v>0</v>
      </c>
      <c r="D16" s="79">
        <v>0</v>
      </c>
      <c r="E16" s="80">
        <v>0</v>
      </c>
      <c r="F16" s="68"/>
    </row>
    <row r="17" spans="1:7" ht="15.75" customHeight="1" x14ac:dyDescent="0.25"/>
    <row r="18" spans="1:7" ht="21" x14ac:dyDescent="0.35">
      <c r="A18" s="65" t="s">
        <v>16</v>
      </c>
    </row>
    <row r="19" spans="1:7" s="82" customFormat="1" ht="18" customHeight="1" x14ac:dyDescent="0.2">
      <c r="A19" s="81" t="s">
        <v>17</v>
      </c>
    </row>
    <row r="20" spans="1:7" s="82" customFormat="1" ht="17.25" customHeight="1" x14ac:dyDescent="0.2">
      <c r="A20" s="81"/>
      <c r="B20" s="83" t="s">
        <v>18</v>
      </c>
      <c r="C20" s="84">
        <v>1</v>
      </c>
    </row>
    <row r="21" spans="1:7" s="82" customFormat="1" ht="17.25" customHeight="1" x14ac:dyDescent="0.2">
      <c r="A21" s="81"/>
      <c r="B21" s="85" t="s">
        <v>19</v>
      </c>
      <c r="D21" s="85"/>
      <c r="E21" s="85"/>
      <c r="F21" s="85"/>
    </row>
    <row r="23" spans="1:7" ht="18.75" customHeight="1" thickBot="1" x14ac:dyDescent="0.4">
      <c r="A23" s="86"/>
      <c r="B23" s="69" t="s">
        <v>20</v>
      </c>
      <c r="C23" s="69" t="s">
        <v>21</v>
      </c>
      <c r="D23" s="69" t="s">
        <v>22</v>
      </c>
      <c r="E23" s="69" t="s">
        <v>23</v>
      </c>
      <c r="F23" s="69" t="s">
        <v>24</v>
      </c>
      <c r="G23" s="87" t="s">
        <v>25</v>
      </c>
    </row>
    <row r="24" spans="1:7" ht="16.5" thickTop="1" x14ac:dyDescent="0.25">
      <c r="A24" s="88">
        <v>1</v>
      </c>
      <c r="B24" s="68" t="s">
        <v>26</v>
      </c>
      <c r="C24" s="89">
        <v>100</v>
      </c>
      <c r="D24" s="90">
        <v>100</v>
      </c>
      <c r="E24" s="90">
        <v>100</v>
      </c>
      <c r="F24" s="91">
        <f>Data!I2</f>
        <v>100</v>
      </c>
      <c r="G24" s="92">
        <f>Data!P2</f>
        <v>1</v>
      </c>
    </row>
    <row r="25" spans="1:7" ht="15.75" x14ac:dyDescent="0.25">
      <c r="A25" s="88">
        <v>2</v>
      </c>
      <c r="B25" s="68" t="s">
        <v>26</v>
      </c>
      <c r="C25" s="89">
        <v>50</v>
      </c>
      <c r="D25" s="90">
        <v>50</v>
      </c>
      <c r="E25" s="90">
        <v>50</v>
      </c>
      <c r="F25" s="93">
        <f>Data!I3</f>
        <v>50</v>
      </c>
      <c r="G25" s="92">
        <f>Data!P3</f>
        <v>1</v>
      </c>
    </row>
    <row r="26" spans="1:7" ht="15.75" x14ac:dyDescent="0.25">
      <c r="A26" s="88">
        <v>3</v>
      </c>
      <c r="B26" s="68" t="s">
        <v>27</v>
      </c>
      <c r="C26" s="89">
        <v>100</v>
      </c>
      <c r="D26" s="90">
        <v>100</v>
      </c>
      <c r="E26" s="90">
        <v>100</v>
      </c>
      <c r="F26" s="93">
        <f>Data!I4</f>
        <v>100</v>
      </c>
      <c r="G26" s="92">
        <f>Data!P4</f>
        <v>1</v>
      </c>
    </row>
    <row r="27" spans="1:7" ht="15.75" x14ac:dyDescent="0.25">
      <c r="A27" s="88">
        <v>4</v>
      </c>
      <c r="B27" s="68" t="s">
        <v>27</v>
      </c>
      <c r="C27" s="89">
        <v>50</v>
      </c>
      <c r="D27" s="90">
        <v>50</v>
      </c>
      <c r="E27" s="90">
        <v>50</v>
      </c>
      <c r="F27" s="93">
        <f>Data!I5</f>
        <v>50</v>
      </c>
      <c r="G27" s="92">
        <f>Data!P5</f>
        <v>1</v>
      </c>
    </row>
    <row r="28" spans="1:7" ht="15.75" x14ac:dyDescent="0.25">
      <c r="A28" s="88">
        <v>5</v>
      </c>
      <c r="B28" s="68" t="s">
        <v>26</v>
      </c>
      <c r="C28" s="89">
        <v>100</v>
      </c>
      <c r="D28" s="90">
        <v>100</v>
      </c>
      <c r="E28" s="90">
        <v>100</v>
      </c>
      <c r="F28" s="93">
        <f>Data!I6</f>
        <v>100</v>
      </c>
      <c r="G28" s="92">
        <f>Data!P6</f>
        <v>1</v>
      </c>
    </row>
    <row r="29" spans="1:7" ht="15.75" x14ac:dyDescent="0.25">
      <c r="A29" s="88">
        <v>6</v>
      </c>
      <c r="B29" s="68" t="s">
        <v>26</v>
      </c>
      <c r="C29" s="89">
        <v>50</v>
      </c>
      <c r="D29" s="90">
        <v>50</v>
      </c>
      <c r="E29" s="90">
        <v>50</v>
      </c>
      <c r="F29" s="93">
        <f>Data!I7</f>
        <v>50</v>
      </c>
      <c r="G29" s="92">
        <f>Data!P7</f>
        <v>1</v>
      </c>
    </row>
    <row r="30" spans="1:7" ht="15.75" x14ac:dyDescent="0.25">
      <c r="A30" s="88">
        <v>7</v>
      </c>
      <c r="B30" s="68" t="s">
        <v>27</v>
      </c>
      <c r="C30" s="89">
        <v>100</v>
      </c>
      <c r="D30" s="90">
        <v>100</v>
      </c>
      <c r="E30" s="90">
        <v>100</v>
      </c>
      <c r="F30" s="93">
        <f>Data!I8</f>
        <v>100</v>
      </c>
      <c r="G30" s="92">
        <f>Data!P8</f>
        <v>1</v>
      </c>
    </row>
    <row r="31" spans="1:7" ht="15.75" x14ac:dyDescent="0.25">
      <c r="A31" s="88">
        <v>8</v>
      </c>
      <c r="B31" s="68" t="s">
        <v>27</v>
      </c>
      <c r="C31" s="89">
        <v>50</v>
      </c>
      <c r="D31" s="90">
        <v>50</v>
      </c>
      <c r="E31" s="90">
        <v>50</v>
      </c>
      <c r="F31" s="93">
        <f>Data!I9</f>
        <v>50</v>
      </c>
      <c r="G31" s="92">
        <f>Data!P9</f>
        <v>1</v>
      </c>
    </row>
    <row r="32" spans="1:7" ht="15.75" x14ac:dyDescent="0.25">
      <c r="A32" s="88">
        <v>9</v>
      </c>
      <c r="B32" s="68" t="s">
        <v>26</v>
      </c>
      <c r="C32" s="89">
        <v>100</v>
      </c>
      <c r="D32" s="90">
        <v>100</v>
      </c>
      <c r="E32" s="90">
        <v>100</v>
      </c>
      <c r="F32" s="93">
        <f>Data!I12</f>
        <v>100</v>
      </c>
      <c r="G32" s="92">
        <f>Data!P12</f>
        <v>1</v>
      </c>
    </row>
    <row r="33" spans="1:9" ht="15.75" x14ac:dyDescent="0.25">
      <c r="A33" s="88">
        <v>10</v>
      </c>
      <c r="B33" s="68" t="s">
        <v>26</v>
      </c>
      <c r="C33" s="89">
        <v>100</v>
      </c>
      <c r="D33" s="90">
        <v>100</v>
      </c>
      <c r="E33" s="90">
        <v>100</v>
      </c>
      <c r="F33" s="93">
        <f>Data!I13</f>
        <v>100</v>
      </c>
      <c r="G33" s="92">
        <f>Data!P13</f>
        <v>1</v>
      </c>
    </row>
    <row r="34" spans="1:9" ht="15.75" x14ac:dyDescent="0.25">
      <c r="A34" s="88">
        <v>11</v>
      </c>
      <c r="B34" s="68" t="s">
        <v>26</v>
      </c>
      <c r="C34" s="89">
        <v>100</v>
      </c>
      <c r="D34" s="90">
        <v>100</v>
      </c>
      <c r="E34" s="90">
        <v>100</v>
      </c>
      <c r="F34" s="93">
        <f>Data!I14</f>
        <v>100</v>
      </c>
      <c r="G34" s="92">
        <f>Data!P14</f>
        <v>1</v>
      </c>
    </row>
    <row r="35" spans="1:9" ht="15.75" x14ac:dyDescent="0.25">
      <c r="A35" s="88">
        <v>12</v>
      </c>
      <c r="B35" s="68" t="s">
        <v>26</v>
      </c>
      <c r="C35" s="89">
        <v>100</v>
      </c>
      <c r="D35" s="90">
        <v>100</v>
      </c>
      <c r="E35" s="90">
        <v>100</v>
      </c>
      <c r="F35" s="93">
        <f>Data!I15</f>
        <v>100</v>
      </c>
      <c r="G35" s="92">
        <f>Data!P15</f>
        <v>1</v>
      </c>
    </row>
    <row r="36" spans="1:9" ht="15.75" x14ac:dyDescent="0.25">
      <c r="A36" s="88">
        <v>13</v>
      </c>
      <c r="B36" s="68" t="s">
        <v>26</v>
      </c>
      <c r="C36" s="89">
        <v>100</v>
      </c>
      <c r="D36" s="90">
        <v>100</v>
      </c>
      <c r="E36" s="90">
        <v>100</v>
      </c>
      <c r="F36" s="93">
        <f>Data!I16</f>
        <v>100</v>
      </c>
      <c r="G36" s="92">
        <f>Data!P16</f>
        <v>1</v>
      </c>
    </row>
    <row r="37" spans="1:9" ht="16.5" thickBot="1" x14ac:dyDescent="0.3">
      <c r="A37" s="94">
        <v>14</v>
      </c>
      <c r="B37" s="95" t="s">
        <v>26</v>
      </c>
      <c r="C37" s="96">
        <v>100</v>
      </c>
      <c r="D37" s="97">
        <v>100</v>
      </c>
      <c r="E37" s="97">
        <v>100</v>
      </c>
      <c r="F37" s="98">
        <f>Data!I17</f>
        <v>100</v>
      </c>
      <c r="G37" s="99">
        <f>Data!P17</f>
        <v>1</v>
      </c>
    </row>
    <row r="38" spans="1:9" ht="15.75" thickTop="1" x14ac:dyDescent="0.25"/>
    <row r="39" spans="1:9" x14ac:dyDescent="0.25">
      <c r="B39" s="92">
        <v>1</v>
      </c>
      <c r="C39" s="100" t="s">
        <v>28</v>
      </c>
      <c r="D39" s="100"/>
      <c r="E39" s="100"/>
      <c r="F39" s="100"/>
      <c r="G39" s="100"/>
    </row>
    <row r="40" spans="1:9" x14ac:dyDescent="0.25">
      <c r="B40" s="92">
        <v>0.75</v>
      </c>
      <c r="C40" s="101" t="s">
        <v>29</v>
      </c>
      <c r="D40" s="101"/>
      <c r="E40" s="101"/>
      <c r="F40" s="101"/>
      <c r="G40" s="101"/>
    </row>
    <row r="41" spans="1:9" x14ac:dyDescent="0.25">
      <c r="B41" s="92">
        <v>0</v>
      </c>
      <c r="C41" s="102" t="s">
        <v>180</v>
      </c>
      <c r="D41" s="102"/>
      <c r="E41" s="102"/>
      <c r="F41" s="102"/>
      <c r="G41" s="102"/>
    </row>
    <row r="43" spans="1:9" ht="26.25" x14ac:dyDescent="0.4">
      <c r="A43" s="103" t="s">
        <v>30</v>
      </c>
      <c r="I43" s="63"/>
    </row>
    <row r="44" spans="1:9" ht="17.25" customHeight="1" x14ac:dyDescent="0.35">
      <c r="A44" s="104" t="s">
        <v>31</v>
      </c>
      <c r="B44" s="105">
        <f>Data!E103</f>
        <v>1000</v>
      </c>
      <c r="I44" s="63"/>
    </row>
    <row r="45" spans="1:9" ht="17.25" customHeight="1" x14ac:dyDescent="0.35">
      <c r="I45" s="63"/>
    </row>
    <row r="46" spans="1:9" ht="17.25" customHeight="1" x14ac:dyDescent="0.4">
      <c r="A46" s="103"/>
      <c r="I46" s="63"/>
    </row>
    <row r="47" spans="1:9" ht="17.25" customHeight="1" x14ac:dyDescent="0.35">
      <c r="A47" s="104" t="s">
        <v>32</v>
      </c>
      <c r="I47" s="63"/>
    </row>
    <row r="48" spans="1:9" ht="16.5" thickBot="1" x14ac:dyDescent="0.3">
      <c r="A48" s="106"/>
      <c r="B48" s="107" t="s">
        <v>33</v>
      </c>
      <c r="C48" s="69" t="s">
        <v>34</v>
      </c>
      <c r="I48" s="108"/>
    </row>
    <row r="49" spans="1:10" ht="16.5" thickTop="1" x14ac:dyDescent="0.25">
      <c r="A49" s="88" t="s">
        <v>13</v>
      </c>
      <c r="B49" s="109">
        <f>Data!B41</f>
        <v>0</v>
      </c>
      <c r="C49" s="110">
        <f>B49*-1</f>
        <v>0</v>
      </c>
      <c r="E49" s="108"/>
      <c r="I49" s="108"/>
    </row>
    <row r="50" spans="1:10" ht="15.75" x14ac:dyDescent="0.25">
      <c r="A50" s="88" t="s">
        <v>14</v>
      </c>
      <c r="B50" s="109">
        <f>Data!C41</f>
        <v>0</v>
      </c>
      <c r="C50" s="110">
        <f>B50*-1</f>
        <v>0</v>
      </c>
      <c r="I50" s="108"/>
    </row>
    <row r="51" spans="1:10" ht="15.75" x14ac:dyDescent="0.25">
      <c r="A51" s="111"/>
      <c r="B51" s="109"/>
      <c r="C51" s="110"/>
      <c r="I51" s="108"/>
    </row>
    <row r="52" spans="1:10" ht="15.75" x14ac:dyDescent="0.25">
      <c r="A52" s="104" t="s">
        <v>2</v>
      </c>
    </row>
    <row r="53" spans="1:10" ht="32.25" thickBot="1" x14ac:dyDescent="0.3">
      <c r="A53" s="104"/>
      <c r="B53" s="107" t="s">
        <v>149</v>
      </c>
      <c r="C53" s="107" t="s">
        <v>144</v>
      </c>
      <c r="D53" s="112" t="s">
        <v>159</v>
      </c>
      <c r="E53" s="112" t="s">
        <v>158</v>
      </c>
      <c r="F53" s="113"/>
      <c r="G53" s="114"/>
      <c r="J53" s="108"/>
    </row>
    <row r="54" spans="1:10" ht="16.5" thickTop="1" x14ac:dyDescent="0.25">
      <c r="A54" s="88" t="s">
        <v>35</v>
      </c>
      <c r="B54" s="115">
        <f>Data!B76</f>
        <v>90</v>
      </c>
      <c r="C54" s="116">
        <f>Data!B77</f>
        <v>0</v>
      </c>
      <c r="D54" s="115">
        <f>Data!B65</f>
        <v>0</v>
      </c>
      <c r="E54" s="115">
        <f>Data!B81</f>
        <v>0</v>
      </c>
      <c r="F54" s="117"/>
      <c r="J54" s="108"/>
    </row>
    <row r="55" spans="1:10" ht="15.75" x14ac:dyDescent="0.25">
      <c r="A55" s="88" t="s">
        <v>36</v>
      </c>
      <c r="B55" s="115">
        <f>Data!C76</f>
        <v>90</v>
      </c>
      <c r="C55" s="116">
        <f>Data!C77</f>
        <v>0</v>
      </c>
      <c r="D55" s="115">
        <f>Data!C65</f>
        <v>0</v>
      </c>
      <c r="E55" s="115">
        <f>Data!C81</f>
        <v>0</v>
      </c>
      <c r="F55" s="117"/>
      <c r="J55" s="108"/>
    </row>
    <row r="56" spans="1:10" ht="15.75" x14ac:dyDescent="0.25">
      <c r="A56" s="88" t="s">
        <v>37</v>
      </c>
      <c r="B56" s="115">
        <f>Data!D76</f>
        <v>90</v>
      </c>
      <c r="C56" s="116">
        <f>Data!D77</f>
        <v>0</v>
      </c>
      <c r="D56" s="115">
        <f>Data!D65</f>
        <v>0</v>
      </c>
      <c r="E56" s="115">
        <f>Data!D81</f>
        <v>0</v>
      </c>
      <c r="F56" s="117"/>
      <c r="J56" s="108"/>
    </row>
    <row r="57" spans="1:10" ht="15.75" x14ac:dyDescent="0.25">
      <c r="A57" s="111"/>
      <c r="B57" s="115"/>
      <c r="C57" s="115"/>
      <c r="I57" s="108"/>
    </row>
    <row r="58" spans="1:10" ht="15.75" x14ac:dyDescent="0.25">
      <c r="A58" s="104" t="s">
        <v>38</v>
      </c>
      <c r="B58" s="115"/>
      <c r="C58" s="115"/>
      <c r="I58" s="108"/>
    </row>
    <row r="59" spans="1:10" ht="16.5" thickBot="1" x14ac:dyDescent="0.3">
      <c r="A59" s="104"/>
      <c r="B59" s="107" t="s">
        <v>33</v>
      </c>
      <c r="C59" s="115"/>
      <c r="I59" s="108"/>
    </row>
    <row r="60" spans="1:10" ht="16.5" thickTop="1" x14ac:dyDescent="0.25">
      <c r="A60" s="88" t="s">
        <v>27</v>
      </c>
      <c r="B60" s="110">
        <f>Data!E41</f>
        <v>0</v>
      </c>
      <c r="I60" s="108"/>
    </row>
    <row r="61" spans="1:10" ht="15.75" x14ac:dyDescent="0.25">
      <c r="A61" s="88" t="s">
        <v>26</v>
      </c>
      <c r="B61" s="110">
        <f>Data!F41</f>
        <v>0</v>
      </c>
      <c r="C61" s="115"/>
      <c r="I61" s="108"/>
    </row>
    <row r="62" spans="1:10" ht="15.75" x14ac:dyDescent="0.25">
      <c r="A62" s="104"/>
      <c r="B62" s="115"/>
      <c r="C62" s="115"/>
      <c r="I62" s="108"/>
    </row>
    <row r="63" spans="1:10" ht="15.75" x14ac:dyDescent="0.25">
      <c r="A63" s="111"/>
      <c r="B63" s="115"/>
      <c r="C63" s="115"/>
      <c r="I63" s="108"/>
    </row>
    <row r="65" spans="1:17" ht="21" x14ac:dyDescent="0.35">
      <c r="A65" s="65" t="s">
        <v>39</v>
      </c>
    </row>
    <row r="66" spans="1:17" ht="23.25" x14ac:dyDescent="0.35">
      <c r="A66" s="66" t="s">
        <v>40</v>
      </c>
      <c r="I66" s="63"/>
      <c r="J66" s="108"/>
      <c r="K66" s="108"/>
      <c r="L66" s="108"/>
      <c r="M66" s="108"/>
      <c r="N66" s="108"/>
      <c r="O66" s="108"/>
      <c r="P66" s="108"/>
      <c r="Q66" s="118"/>
    </row>
    <row r="67" spans="1:17" ht="15" customHeight="1" x14ac:dyDescent="0.25">
      <c r="I67" s="108"/>
      <c r="J67" s="108"/>
      <c r="K67" s="108"/>
      <c r="L67" s="108"/>
      <c r="M67" s="108"/>
      <c r="N67" s="108"/>
      <c r="O67" s="108"/>
      <c r="P67" s="108"/>
      <c r="Q67" s="118"/>
    </row>
    <row r="68" spans="1:17" ht="15" customHeight="1" x14ac:dyDescent="0.25">
      <c r="B68" s="119" t="s">
        <v>41</v>
      </c>
      <c r="C68" s="120" t="s">
        <v>42</v>
      </c>
      <c r="D68" s="72"/>
      <c r="E68" s="72"/>
      <c r="H68" s="121" t="s">
        <v>43</v>
      </c>
      <c r="I68" s="108"/>
      <c r="J68" s="108"/>
      <c r="K68" s="108"/>
      <c r="L68" s="108"/>
      <c r="M68" s="108"/>
      <c r="N68" s="108"/>
      <c r="O68" s="108"/>
      <c r="P68" s="108"/>
      <c r="Q68" s="108"/>
    </row>
    <row r="69" spans="1:17" ht="15" customHeight="1" x14ac:dyDescent="0.25">
      <c r="B69" s="119" t="s">
        <v>44</v>
      </c>
      <c r="C69" s="120" t="str">
        <f>Data!A112</f>
        <v>SET_SKEW XY=141.421,141.421,100 XZ=141.421,141.421,100 YZ=141.421,141.421,100</v>
      </c>
      <c r="D69" s="72"/>
      <c r="E69" s="72"/>
      <c r="H69" s="121" t="s">
        <v>45</v>
      </c>
      <c r="J69" s="108"/>
      <c r="K69" s="108"/>
      <c r="L69" s="108"/>
      <c r="M69" s="108"/>
      <c r="N69" s="108"/>
      <c r="O69" s="108"/>
      <c r="P69" s="108"/>
      <c r="Q69" s="108"/>
    </row>
    <row r="70" spans="1:17" ht="15" customHeight="1" x14ac:dyDescent="0.25">
      <c r="B70" s="119" t="s">
        <v>44</v>
      </c>
      <c r="C70" s="120" t="str">
        <f>Data!A113</f>
        <v>SKEW_PROFILE SAVE=calilantern_skew_profile</v>
      </c>
      <c r="D70" s="72"/>
      <c r="E70" s="72"/>
      <c r="H70" s="121" t="s">
        <v>45</v>
      </c>
      <c r="I70" s="108"/>
      <c r="J70" s="108"/>
      <c r="K70" s="108"/>
      <c r="L70" s="108"/>
      <c r="M70" s="108"/>
      <c r="N70" s="108"/>
      <c r="O70" s="108"/>
      <c r="P70" s="108"/>
      <c r="Q70" s="108"/>
    </row>
    <row r="71" spans="1:17" ht="15" customHeight="1" x14ac:dyDescent="0.25">
      <c r="B71" s="119" t="s">
        <v>44</v>
      </c>
      <c r="C71" s="120" t="str">
        <f>Data!A114</f>
        <v>SAVE_CONFIG</v>
      </c>
      <c r="D71" s="72"/>
      <c r="E71" s="72"/>
      <c r="H71" s="121" t="s">
        <v>45</v>
      </c>
      <c r="I71" s="108"/>
      <c r="J71" s="108"/>
      <c r="K71" s="108"/>
      <c r="L71" s="108"/>
      <c r="M71" s="108"/>
      <c r="N71" s="108"/>
      <c r="O71" s="108"/>
      <c r="P71" s="108"/>
      <c r="Q71" s="108"/>
    </row>
    <row r="72" spans="1:17" x14ac:dyDescent="0.25">
      <c r="B72" s="122" t="s">
        <v>46</v>
      </c>
      <c r="C72" s="120" t="str">
        <f>Data!A115</f>
        <v>SKEW_PROFILE LOAD=calilantern_skew_profile</v>
      </c>
      <c r="D72" s="72"/>
      <c r="E72" s="72"/>
      <c r="H72" s="121" t="s">
        <v>47</v>
      </c>
      <c r="I72" s="123"/>
      <c r="J72" s="123"/>
      <c r="K72" s="123"/>
      <c r="L72" s="123"/>
      <c r="M72" s="123"/>
      <c r="N72" s="123"/>
      <c r="O72" s="123"/>
      <c r="P72" s="123"/>
    </row>
    <row r="73" spans="1:17" x14ac:dyDescent="0.25">
      <c r="B73" s="122" t="s">
        <v>46</v>
      </c>
      <c r="C73" s="120" t="str">
        <f>Data!A116</f>
        <v>SET_SKEW CLEAR=1</v>
      </c>
      <c r="D73" s="72"/>
      <c r="E73" s="72"/>
      <c r="H73" s="121" t="s">
        <v>48</v>
      </c>
      <c r="I73" s="108"/>
      <c r="J73" s="123"/>
      <c r="K73" s="123"/>
      <c r="L73" s="123"/>
      <c r="M73" s="123"/>
      <c r="N73" s="123"/>
      <c r="O73" s="123"/>
      <c r="P73" s="123"/>
    </row>
    <row r="74" spans="1:17" x14ac:dyDescent="0.25">
      <c r="B74" s="72"/>
      <c r="C74" s="72"/>
      <c r="D74" s="72"/>
      <c r="E74" s="72"/>
      <c r="F74" s="72"/>
      <c r="G74" s="72"/>
      <c r="I74" s="108"/>
      <c r="J74" s="123"/>
      <c r="K74" s="123"/>
      <c r="L74" s="123"/>
      <c r="M74" s="123"/>
      <c r="N74" s="123"/>
      <c r="O74" s="123"/>
      <c r="P74" s="123"/>
    </row>
    <row r="75" spans="1:17" x14ac:dyDescent="0.25">
      <c r="A75" s="66" t="s">
        <v>49</v>
      </c>
    </row>
    <row r="77" spans="1:17" x14ac:dyDescent="0.25">
      <c r="B77" s="122" t="s">
        <v>46</v>
      </c>
      <c r="C77" s="124" t="str">
        <f>Data!A119</f>
        <v>#define XY_DIAG_AC 141.421</v>
      </c>
      <c r="F77" s="125" t="s">
        <v>50</v>
      </c>
    </row>
    <row r="78" spans="1:17" x14ac:dyDescent="0.25">
      <c r="B78" s="122" t="s">
        <v>46</v>
      </c>
      <c r="C78" s="124" t="str">
        <f>Data!A120</f>
        <v>#define XY_DIAG_BD 141.421</v>
      </c>
      <c r="F78" s="125" t="s">
        <v>50</v>
      </c>
    </row>
    <row r="79" spans="1:17" x14ac:dyDescent="0.25">
      <c r="B79" s="122" t="s">
        <v>46</v>
      </c>
      <c r="C79" s="124" t="str">
        <f>Data!A121</f>
        <v>#define XY_SIDE_AD 100</v>
      </c>
      <c r="F79" s="125" t="s">
        <v>50</v>
      </c>
    </row>
    <row r="80" spans="1:17" x14ac:dyDescent="0.25">
      <c r="F80" s="125"/>
    </row>
    <row r="81" spans="1:6" x14ac:dyDescent="0.25">
      <c r="B81" s="122" t="s">
        <v>46</v>
      </c>
      <c r="C81" s="124" t="str">
        <f>Data!A127</f>
        <v>#define XZ_DIAG_AC 141.421</v>
      </c>
      <c r="F81" s="125" t="s">
        <v>50</v>
      </c>
    </row>
    <row r="82" spans="1:6" x14ac:dyDescent="0.25">
      <c r="B82" s="122" t="s">
        <v>46</v>
      </c>
      <c r="C82" s="124" t="str">
        <f>Data!A128</f>
        <v>#define XZ_DIAG_BD 141.421</v>
      </c>
      <c r="F82" s="125" t="s">
        <v>50</v>
      </c>
    </row>
    <row r="83" spans="1:6" x14ac:dyDescent="0.25">
      <c r="B83" s="122" t="s">
        <v>46</v>
      </c>
      <c r="C83" s="124" t="str">
        <f>Data!A129</f>
        <v>#define YZ_DIAG_AC 141.421</v>
      </c>
      <c r="F83" s="125" t="s">
        <v>50</v>
      </c>
    </row>
    <row r="84" spans="1:6" x14ac:dyDescent="0.25">
      <c r="B84" s="122" t="s">
        <v>46</v>
      </c>
      <c r="C84" s="124" t="str">
        <f>Data!A130</f>
        <v>#define YZ_DIAG_BD 141.421</v>
      </c>
      <c r="F84" s="125" t="s">
        <v>50</v>
      </c>
    </row>
    <row r="85" spans="1:6" x14ac:dyDescent="0.25">
      <c r="B85" s="122" t="s">
        <v>46</v>
      </c>
      <c r="C85" s="124" t="str">
        <f>Data!A131</f>
        <v>#define YZ_SIDE_AD 100</v>
      </c>
      <c r="F85" s="125" t="s">
        <v>50</v>
      </c>
    </row>
    <row r="86" spans="1:6" x14ac:dyDescent="0.25">
      <c r="C86" s="124"/>
      <c r="F86" s="125"/>
    </row>
    <row r="87" spans="1:6" x14ac:dyDescent="0.25">
      <c r="B87" s="122"/>
      <c r="F87" s="125"/>
    </row>
    <row r="88" spans="1:6" x14ac:dyDescent="0.25">
      <c r="A88" s="66" t="s">
        <v>51</v>
      </c>
      <c r="B88" s="122"/>
      <c r="F88" s="125"/>
    </row>
    <row r="89" spans="1:6" x14ac:dyDescent="0.25">
      <c r="A89" s="66"/>
      <c r="B89" s="122"/>
      <c r="F89" s="125"/>
    </row>
    <row r="90" spans="1:6" x14ac:dyDescent="0.25">
      <c r="B90" s="122" t="s">
        <v>46</v>
      </c>
      <c r="C90" s="124" t="str">
        <f>Data!A123</f>
        <v>#define XY_SKEW_FACTOR 0</v>
      </c>
      <c r="F90" s="125" t="s">
        <v>50</v>
      </c>
    </row>
    <row r="91" spans="1:6" x14ac:dyDescent="0.25">
      <c r="B91" s="122" t="s">
        <v>46</v>
      </c>
      <c r="C91" s="124" t="str">
        <f>Data!A124</f>
        <v>#define XZ_SKEW_FACTOR 0</v>
      </c>
      <c r="F91" s="125" t="s">
        <v>50</v>
      </c>
    </row>
    <row r="92" spans="1:6" x14ac:dyDescent="0.25">
      <c r="B92" s="122" t="s">
        <v>46</v>
      </c>
      <c r="C92" s="124" t="str">
        <f>Data!A125</f>
        <v>#define YZ_SKEW_FACTOR 0</v>
      </c>
      <c r="F92" s="125" t="s">
        <v>50</v>
      </c>
    </row>
    <row r="93" spans="1:6" x14ac:dyDescent="0.25">
      <c r="B93" s="122"/>
      <c r="F93" s="125"/>
    </row>
    <row r="94" spans="1:6" x14ac:dyDescent="0.25">
      <c r="B94" s="122"/>
      <c r="F94" s="125"/>
    </row>
    <row r="95" spans="1:6" x14ac:dyDescent="0.25">
      <c r="A95" s="66" t="s">
        <v>52</v>
      </c>
      <c r="B95" s="122"/>
      <c r="F95" s="125"/>
    </row>
    <row r="96" spans="1:6" x14ac:dyDescent="0.25">
      <c r="B96" s="122"/>
      <c r="F96" s="125"/>
    </row>
    <row r="97" spans="1:9" x14ac:dyDescent="0.25">
      <c r="B97" s="119" t="s">
        <v>53</v>
      </c>
      <c r="C97" s="124" t="str">
        <f>Data!B133</f>
        <v>#define SKEW_CORRECTION_GCODE</v>
      </c>
      <c r="F97" s="121" t="s">
        <v>54</v>
      </c>
    </row>
    <row r="98" spans="1:9" x14ac:dyDescent="0.25">
      <c r="B98" s="119" t="s">
        <v>44</v>
      </c>
      <c r="C98" s="124" t="str">
        <f>Data!B134</f>
        <v>M852 I0 J0 K0</v>
      </c>
      <c r="F98" s="121" t="s">
        <v>45</v>
      </c>
    </row>
    <row r="99" spans="1:9" x14ac:dyDescent="0.25">
      <c r="B99" s="119" t="s">
        <v>44</v>
      </c>
      <c r="C99" s="124" t="str">
        <f>Data!B135</f>
        <v>M500</v>
      </c>
      <c r="F99" s="121" t="s">
        <v>45</v>
      </c>
    </row>
    <row r="100" spans="1:9" x14ac:dyDescent="0.25">
      <c r="F100" s="125"/>
    </row>
    <row r="101" spans="1:9" ht="23.25" x14ac:dyDescent="0.35">
      <c r="A101" s="66" t="s">
        <v>55</v>
      </c>
      <c r="F101" s="125"/>
      <c r="I101" s="63"/>
    </row>
    <row r="102" spans="1:9" x14ac:dyDescent="0.25">
      <c r="F102" s="125"/>
    </row>
    <row r="103" spans="1:9" x14ac:dyDescent="0.25">
      <c r="B103" s="122" t="s">
        <v>46</v>
      </c>
      <c r="C103" s="124" t="str">
        <f>Data!A143</f>
        <v>M556 S100 X0 Y0 Z0</v>
      </c>
      <c r="F103" s="125" t="s">
        <v>56</v>
      </c>
    </row>
    <row r="105" spans="1:9" ht="21" x14ac:dyDescent="0.35">
      <c r="A105" s="65" t="s">
        <v>57</v>
      </c>
      <c r="B105" s="125" t="s">
        <v>160</v>
      </c>
    </row>
    <row r="106" spans="1:9" x14ac:dyDescent="0.25">
      <c r="A106" s="66" t="s">
        <v>58</v>
      </c>
    </row>
    <row r="107" spans="1:9" x14ac:dyDescent="0.25">
      <c r="A107" s="125" t="s">
        <v>59</v>
      </c>
      <c r="C107" s="68"/>
    </row>
    <row r="108" spans="1:9" x14ac:dyDescent="0.25">
      <c r="B108" s="126" t="s">
        <v>60</v>
      </c>
      <c r="C108" s="127">
        <v>100</v>
      </c>
    </row>
    <row r="109" spans="1:9" x14ac:dyDescent="0.25">
      <c r="B109" s="126" t="s">
        <v>61</v>
      </c>
      <c r="C109" s="90">
        <f>Data!B147</f>
        <v>100</v>
      </c>
    </row>
    <row r="111" spans="1:9" x14ac:dyDescent="0.25">
      <c r="A111" s="60" t="s">
        <v>62</v>
      </c>
    </row>
    <row r="112" spans="1:9" x14ac:dyDescent="0.25">
      <c r="B112" s="126" t="s">
        <v>63</v>
      </c>
      <c r="C112" s="128">
        <v>1</v>
      </c>
    </row>
    <row r="113" spans="1:7" x14ac:dyDescent="0.25">
      <c r="B113" s="126" t="s">
        <v>64</v>
      </c>
      <c r="C113" s="128">
        <f>Data!B148</f>
        <v>1</v>
      </c>
    </row>
    <row r="115" spans="1:7" x14ac:dyDescent="0.25">
      <c r="A115" s="66" t="s">
        <v>161</v>
      </c>
    </row>
    <row r="116" spans="1:7" x14ac:dyDescent="0.25">
      <c r="A116" s="129" t="s">
        <v>169</v>
      </c>
    </row>
    <row r="117" spans="1:7" ht="15.75" thickBot="1" x14ac:dyDescent="0.3">
      <c r="B117" s="106"/>
      <c r="C117" s="130" t="s">
        <v>66</v>
      </c>
    </row>
    <row r="118" spans="1:7" ht="15.75" thickTop="1" x14ac:dyDescent="0.25">
      <c r="B118" s="126" t="s">
        <v>67</v>
      </c>
      <c r="C118" s="127">
        <v>100</v>
      </c>
    </row>
    <row r="119" spans="1:7" x14ac:dyDescent="0.25">
      <c r="B119" s="126" t="s">
        <v>68</v>
      </c>
      <c r="C119" s="127">
        <v>100</v>
      </c>
      <c r="G119" s="131"/>
    </row>
    <row r="120" spans="1:7" x14ac:dyDescent="0.25">
      <c r="B120" s="132"/>
      <c r="C120" s="68"/>
    </row>
    <row r="121" spans="1:7" x14ac:dyDescent="0.25">
      <c r="B121" s="126" t="s">
        <v>69</v>
      </c>
      <c r="C121" s="92">
        <f>Data!B151</f>
        <v>100</v>
      </c>
      <c r="G121" s="131"/>
    </row>
    <row r="122" spans="1:7" x14ac:dyDescent="0.25">
      <c r="B122" s="126" t="s">
        <v>70</v>
      </c>
      <c r="C122" s="92">
        <f>Data!B152</f>
        <v>100</v>
      </c>
    </row>
    <row r="123" spans="1:7" x14ac:dyDescent="0.25">
      <c r="A123" s="129"/>
    </row>
    <row r="124" spans="1:7" ht="15.75" thickBot="1" x14ac:dyDescent="0.3">
      <c r="C124" s="130" t="s">
        <v>66</v>
      </c>
    </row>
    <row r="125" spans="1:7" ht="15.75" thickTop="1" x14ac:dyDescent="0.25">
      <c r="B125" s="126" t="s">
        <v>72</v>
      </c>
      <c r="C125" s="127">
        <v>100</v>
      </c>
    </row>
    <row r="126" spans="1:7" x14ac:dyDescent="0.25">
      <c r="B126" s="126" t="s">
        <v>73</v>
      </c>
      <c r="C126" s="127">
        <v>100</v>
      </c>
    </row>
    <row r="127" spans="1:7" x14ac:dyDescent="0.25">
      <c r="B127" s="132"/>
      <c r="C127" s="68"/>
    </row>
    <row r="128" spans="1:7" x14ac:dyDescent="0.25">
      <c r="B128" s="126" t="s">
        <v>74</v>
      </c>
      <c r="C128" s="92">
        <f>Data!B155</f>
        <v>100</v>
      </c>
    </row>
    <row r="129" spans="2:3" x14ac:dyDescent="0.25">
      <c r="B129" s="126" t="s">
        <v>75</v>
      </c>
      <c r="C129" s="92">
        <f>Data!B156</f>
        <v>100</v>
      </c>
    </row>
  </sheetData>
  <sheetProtection algorithmName="SHA-512" hashValue="dpci3nib9fYO74PPXaVasrsjr7UyA/pBci2a6grZPXvMz4QKJQsfDTatQncGtvsLcOsU67sNNHRlr0d8vSuuww==" saltValue="UD5ev/xj+K3e2ijGxuZrpg==" spinCount="100000" sheet="1" selectLockedCells="1"/>
  <dataConsolidate/>
  <conditionalFormatting sqref="B39:B41">
    <cfRule type="iconSet" priority="1">
      <iconSet iconSet="3Symbols" showValue="0">
        <cfvo type="percent" val="0"/>
        <cfvo type="num" val="0.5"/>
        <cfvo type="num" val="0.99"/>
      </iconSet>
    </cfRule>
  </conditionalFormatting>
  <conditionalFormatting sqref="G24:G37">
    <cfRule type="iconSet" priority="9">
      <iconSet iconSet="3Symbols" showValue="0">
        <cfvo type="percent" val="0"/>
        <cfvo type="num" val="0.5"/>
        <cfvo type="num" val="0.99"/>
      </iconSet>
    </cfRule>
  </conditionalFormatting>
  <dataValidations count="7">
    <dataValidation type="decimal" operator="greaterThanOrEqual" allowBlank="1" showInputMessage="1" showErrorMessage="1" sqref="C20" xr:uid="{C7A8C0C4-92C8-40D1-B605-D7B5AAD899F4}">
      <formula1>0.5</formula1>
    </dataValidation>
    <dataValidation type="decimal" operator="greaterThan" allowBlank="1" showErrorMessage="1" errorTitle="Input Error" error="Value must be a decimal greater than zero." sqref="C118:C119 C125:C126" xr:uid="{C0A9B6DF-D6AE-4DEE-8770-0F6457B7E7DC}">
      <formula1>0</formula1>
    </dataValidation>
    <dataValidation type="custom" allowBlank="1" showInputMessage="1" showErrorMessage="1" error="Value cannot be changed" sqref="C68" xr:uid="{B6A7E163-2A93-4694-ABD8-FD15403B7BBD}">
      <formula1>"[skew_correction] "</formula1>
    </dataValidation>
    <dataValidation type="custom" allowBlank="1" showInputMessage="1" showErrorMessage="1" sqref="G119" xr:uid="{4C8845A7-5AE1-4F82-AC4E-A63F20D239EE}">
      <formula1>C109</formula1>
    </dataValidation>
    <dataValidation type="decimal" allowBlank="1" showInputMessage="1" showErrorMessage="1" error="Value must be a decimal between 0 and 1000." sqref="B39:B41 C24:G37" xr:uid="{731A9A1B-77ED-464E-B0CB-5058C0E885E1}">
      <formula1>0</formula1>
      <formula2>1000</formula2>
    </dataValidation>
    <dataValidation type="decimal" allowBlank="1" showInputMessage="1" showErrorMessage="1" error="Value must be a decimal between 0 and 1000" sqref="B39:B41 C24:G37" xr:uid="{58A81E11-ED5F-433D-8C44-645679BE8C92}">
      <formula1>0</formula1>
      <formula2>1000</formula2>
    </dataValidation>
    <dataValidation allowBlank="1" showInputMessage="1" showErrorMessage="1" error="Cell cannot be changed" sqref="C90:C92 J12:J14" xr:uid="{9A1CEAED-65F7-4B35-ACB4-21285127BD97}"/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custom" allowBlank="1" showInputMessage="1" showErrorMessage="1" error="Cell cannot be changed" xr:uid="{16F0F8FB-A72B-4968-81A0-857809666F8A}">
          <x14:formula1>
            <xm:f>Data!#REF!</xm:f>
          </x14:formula1>
          <xm:sqref>H10</xm:sqref>
        </x14:dataValidation>
        <x14:dataValidation type="list" allowBlank="1" showInputMessage="1" showErrorMessage="1" xr:uid="{4B6363F6-81F1-43FE-92EE-A412F670A3F6}">
          <x14:formula1>
            <xm:f>Data!$A$25:$A$28</xm:f>
          </x14:formula1>
          <xm:sqref>C6</xm:sqref>
        </x14:dataValidation>
        <x14:dataValidation type="custom" allowBlank="1" showInputMessage="1" showErrorMessage="1" error="Value cannot be changed." xr:uid="{48EEACB0-11F2-4B3A-A87B-78D683CEF29F}">
          <x14:formula1>
            <xm:f>Data!B155</xm:f>
          </x14:formula1>
          <xm:sqref>C128:C129</xm:sqref>
        </x14:dataValidation>
        <x14:dataValidation type="custom" allowBlank="1" showInputMessage="1" showErrorMessage="1" xr:uid="{829FF8E1-4DE4-44B9-9759-206FADEF11A7}">
          <x14:formula1>
            <xm:f>Data!D151</xm:f>
          </x14:formula1>
          <xm:sqref>G121</xm:sqref>
        </x14:dataValidation>
        <x14:dataValidation type="custom" allowBlank="1" showInputMessage="1" showErrorMessage="1" error="Value cannot be changed" xr:uid="{0567E271-80A8-4C25-9167-92E7998A5AB4}">
          <x14:formula1>
            <xm:f>Data!B147</xm:f>
          </x14:formula1>
          <xm:sqref>C109</xm:sqref>
        </x14:dataValidation>
        <x14:dataValidation type="custom" allowBlank="1" showInputMessage="1" showErrorMessage="1" error="Value Cannot be changed" xr:uid="{5695CB17-CE84-4078-8EB8-7D206F6E646D}">
          <x14:formula1>
            <xm:f>Data!A143</xm:f>
          </x14:formula1>
          <xm:sqref>C103</xm:sqref>
        </x14:dataValidation>
        <x14:dataValidation type="custom" allowBlank="1" showInputMessage="1" showErrorMessage="1" xr:uid="{E5B1B4BE-DF54-4126-AA9C-7BCAE07AF479}">
          <x14:formula1>
            <xm:f>Data!B133</xm:f>
          </x14:formula1>
          <xm:sqref>C97:C99</xm:sqref>
        </x14:dataValidation>
        <x14:dataValidation type="custom" allowBlank="1" showInputMessage="1" showErrorMessage="1" error="Cell cannot be changed" xr:uid="{8CCD21F2-830E-414A-B69C-17E624C7E636}">
          <x14:formula1>
            <xm:f>Data!A133</xm:f>
          </x14:formula1>
          <xm:sqref>C86</xm:sqref>
        </x14:dataValidation>
        <x14:dataValidation type="custom" allowBlank="1" showInputMessage="1" showErrorMessage="1" error="Cell cannot be changed" xr:uid="{2C231BFB-4639-4784-930D-4AB00911758E}">
          <x14:formula1>
            <xm:f>Data!A127</xm:f>
          </x14:formula1>
          <xm:sqref>C81:C85</xm:sqref>
        </x14:dataValidation>
        <x14:dataValidation type="custom" allowBlank="1" showInputMessage="1" showErrorMessage="1" error="Cell cannot be changed" xr:uid="{03B2F568-3EB2-48B3-85AF-7E5267933FA2}">
          <x14:formula1>
            <xm:f>Data!A123</xm:f>
          </x14:formula1>
          <xm:sqref>C93:C94</xm:sqref>
        </x14:dataValidation>
        <x14:dataValidation type="custom" allowBlank="1" showInputMessage="1" showErrorMessage="1" error="Cell cannot be changed" xr:uid="{46476494-075C-4E5A-8C01-ED4F7E7238FC}">
          <x14:formula1>
            <xm:f>Data!H119</xm:f>
          </x14:formula1>
          <xm:sqref>C96</xm:sqref>
        </x14:dataValidation>
        <x14:dataValidation type="custom" allowBlank="1" showInputMessage="1" showErrorMessage="1" error="Cell cannot be changed" xr:uid="{BD1AF4C4-B918-4DBA-953D-E9728317E428}">
          <x14:formula1>
            <xm:f>Data!A123</xm:f>
          </x14:formula1>
          <xm:sqref>C87:C89</xm:sqref>
        </x14:dataValidation>
        <x14:dataValidation type="custom" allowBlank="1" showInputMessage="1" showErrorMessage="1" error="Cell cannot be changed" xr:uid="{7813AEA7-DDC5-4DB6-818A-477C5F9DB5C3}">
          <x14:formula1>
            <xm:f>Data!A119</xm:f>
          </x14:formula1>
          <xm:sqref>C77:C79</xm:sqref>
        </x14:dataValidation>
        <x14:dataValidation type="custom" allowBlank="1" showInputMessage="1" showErrorMessage="1" error="Cell cannot be changed" xr:uid="{062992A1-4F01-4AB5-9481-195ACEA1C05C}">
          <x14:formula1>
            <xm:f>Data!A112</xm:f>
          </x14:formula1>
          <xm:sqref>C69:C73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14C2-2CC2-465E-A1D4-A42848F58353}">
  <sheetPr codeName="Sheet2"/>
  <dimension ref="A1:AG156"/>
  <sheetViews>
    <sheetView topLeftCell="A77" zoomScale="70" zoomScaleNormal="70" workbookViewId="0">
      <selection activeCell="C86" sqref="C86"/>
    </sheetView>
  </sheetViews>
  <sheetFormatPr defaultRowHeight="15" x14ac:dyDescent="0.25"/>
  <cols>
    <col min="1" max="1" width="19.7109375" customWidth="1"/>
    <col min="2" max="2" width="21.5703125" customWidth="1"/>
    <col min="3" max="3" width="19.7109375" customWidth="1"/>
    <col min="4" max="4" width="21.42578125" customWidth="1"/>
    <col min="5" max="5" width="12" customWidth="1"/>
    <col min="6" max="6" width="17.5703125" customWidth="1"/>
    <col min="7" max="7" width="10.5703125" customWidth="1"/>
    <col min="8" max="8" width="10.5703125" bestFit="1" customWidth="1"/>
    <col min="9" max="9" width="13.7109375" bestFit="1" customWidth="1"/>
    <col min="10" max="11" width="12.5703125" customWidth="1"/>
    <col min="12" max="12" width="15.5703125" customWidth="1"/>
    <col min="13" max="14" width="14.140625" customWidth="1"/>
    <col min="15" max="15" width="13.7109375" customWidth="1"/>
    <col min="16" max="16" width="14" customWidth="1"/>
    <col min="17" max="17" width="19.5703125" bestFit="1" customWidth="1"/>
    <col min="18" max="18" width="27" customWidth="1"/>
    <col min="19" max="21" width="12.28515625" customWidth="1"/>
    <col min="22" max="23" width="9" customWidth="1"/>
    <col min="24" max="24" width="22.140625" customWidth="1"/>
    <col min="25" max="25" width="11.5703125" customWidth="1"/>
    <col min="26" max="26" width="10.5703125" customWidth="1"/>
    <col min="27" max="27" width="6.42578125" customWidth="1"/>
    <col min="30" max="30" width="23.42578125" customWidth="1"/>
    <col min="31" max="31" width="10" bestFit="1" customWidth="1"/>
    <col min="33" max="33" width="6.28515625" customWidth="1"/>
  </cols>
  <sheetData>
    <row r="1" spans="1:32" s="14" customFormat="1" x14ac:dyDescent="0.25">
      <c r="B1" s="14" t="s">
        <v>76</v>
      </c>
      <c r="C1" s="14" t="s">
        <v>77</v>
      </c>
      <c r="D1" s="14" t="s">
        <v>78</v>
      </c>
      <c r="E1" s="14" t="s">
        <v>79</v>
      </c>
      <c r="F1" s="14" t="s">
        <v>80</v>
      </c>
      <c r="G1" s="14" t="s">
        <v>81</v>
      </c>
      <c r="H1" s="14" t="s">
        <v>82</v>
      </c>
      <c r="I1" s="14" t="s">
        <v>83</v>
      </c>
      <c r="J1" s="14" t="s">
        <v>33</v>
      </c>
      <c r="K1" s="14" t="s">
        <v>84</v>
      </c>
      <c r="L1" s="14" t="s">
        <v>85</v>
      </c>
      <c r="M1" s="14" t="s">
        <v>86</v>
      </c>
      <c r="N1" s="14" t="s">
        <v>87</v>
      </c>
      <c r="O1" s="14" t="s">
        <v>88</v>
      </c>
      <c r="P1" s="14" t="s">
        <v>89</v>
      </c>
      <c r="Q1" s="14" t="s">
        <v>171</v>
      </c>
    </row>
    <row r="2" spans="1:32" x14ac:dyDescent="0.25">
      <c r="A2" s="133" t="s">
        <v>13</v>
      </c>
      <c r="C2" t="s">
        <v>26</v>
      </c>
      <c r="D2" s="14">
        <v>1</v>
      </c>
      <c r="E2" s="13">
        <f>XTravel</f>
        <v>100</v>
      </c>
      <c r="F2" s="2">
        <f>Calculator!C24</f>
        <v>100</v>
      </c>
      <c r="G2" s="2">
        <f>Calculator!D24</f>
        <v>100</v>
      </c>
      <c r="H2" s="2">
        <f>Calculator!E24</f>
        <v>100</v>
      </c>
      <c r="I2" s="2">
        <f>AVERAGE(F2:H2)</f>
        <v>100</v>
      </c>
      <c r="J2" s="2">
        <f>I2-E2</f>
        <v>0</v>
      </c>
      <c r="K2" s="1">
        <f t="shared" ref="K2:K17" si="0">(I2-E2)/E2</f>
        <v>0</v>
      </c>
      <c r="L2" s="8">
        <f>ABS(E2-I2)</f>
        <v>0</v>
      </c>
      <c r="M2" s="13">
        <f>IF(L2&lt;$B$22,1,IF(L2&lt;$C$22,0.5,0))</f>
        <v>1</v>
      </c>
      <c r="N2" s="8">
        <f>MAX(F2:H2)-MIN(F2:H2)</f>
        <v>0</v>
      </c>
      <c r="O2" s="13">
        <f t="shared" ref="O2:O17" si="1">IF(N2&lt;$B$21,1,IF(N2&lt;$C$21,0.5,0))</f>
        <v>1</v>
      </c>
      <c r="P2" s="26">
        <f>MIN(M2,O2)</f>
        <v>1</v>
      </c>
      <c r="Q2">
        <v>1</v>
      </c>
    </row>
    <row r="3" spans="1:32" x14ac:dyDescent="0.25">
      <c r="A3" s="133"/>
      <c r="C3" t="s">
        <v>26</v>
      </c>
      <c r="D3" s="14">
        <v>2</v>
      </c>
      <c r="E3" s="13">
        <f>XTravelHalf</f>
        <v>50</v>
      </c>
      <c r="F3" s="2">
        <f>Calculator!C25</f>
        <v>50</v>
      </c>
      <c r="G3" s="2">
        <f>Calculator!D25</f>
        <v>50</v>
      </c>
      <c r="H3" s="2">
        <f>Calculator!E25</f>
        <v>50</v>
      </c>
      <c r="I3" s="2">
        <f t="shared" ref="I3:I17" si="2">AVERAGE(F3:H3)</f>
        <v>50</v>
      </c>
      <c r="J3" s="2">
        <f t="shared" ref="J3:J17" si="3">I3-E3</f>
        <v>0</v>
      </c>
      <c r="K3" s="1">
        <f t="shared" si="0"/>
        <v>0</v>
      </c>
      <c r="L3" s="8">
        <f t="shared" ref="L3:L17" si="4">ABS(E3-I3)</f>
        <v>0</v>
      </c>
      <c r="M3" s="13">
        <f t="shared" ref="M3:M17" si="5">IF(L3&lt;$B$22,1,IF(L3&lt;$C$22,0.5,0))</f>
        <v>1</v>
      </c>
      <c r="N3" s="8">
        <f t="shared" ref="N3:N17" si="6">MAX(F3:H3)-MIN(F3:H3)</f>
        <v>0</v>
      </c>
      <c r="O3" s="13">
        <f t="shared" si="1"/>
        <v>1</v>
      </c>
      <c r="P3" s="26">
        <f t="shared" ref="P3:P17" si="7">MIN(M3,O3)</f>
        <v>1</v>
      </c>
      <c r="Q3">
        <v>2</v>
      </c>
    </row>
    <row r="4" spans="1:32" x14ac:dyDescent="0.25">
      <c r="A4" s="133"/>
      <c r="C4" t="s">
        <v>27</v>
      </c>
      <c r="D4" s="14">
        <v>3</v>
      </c>
      <c r="E4" s="13">
        <f>XTravel</f>
        <v>100</v>
      </c>
      <c r="F4" s="2">
        <f>Calculator!C26</f>
        <v>100</v>
      </c>
      <c r="G4" s="2">
        <f>Calculator!D26</f>
        <v>100</v>
      </c>
      <c r="H4" s="2">
        <f>Calculator!E26</f>
        <v>100</v>
      </c>
      <c r="I4" s="2">
        <f t="shared" si="2"/>
        <v>100</v>
      </c>
      <c r="J4" s="2">
        <f t="shared" si="3"/>
        <v>0</v>
      </c>
      <c r="K4" s="1">
        <f t="shared" si="0"/>
        <v>0</v>
      </c>
      <c r="L4" s="8">
        <f t="shared" si="4"/>
        <v>0</v>
      </c>
      <c r="M4" s="13">
        <f t="shared" si="5"/>
        <v>1</v>
      </c>
      <c r="N4" s="8">
        <f t="shared" si="6"/>
        <v>0</v>
      </c>
      <c r="O4" s="13">
        <f t="shared" si="1"/>
        <v>1</v>
      </c>
      <c r="P4" s="26">
        <f t="shared" si="7"/>
        <v>1</v>
      </c>
      <c r="Q4">
        <v>3</v>
      </c>
    </row>
    <row r="5" spans="1:32" x14ac:dyDescent="0.25">
      <c r="A5" s="133"/>
      <c r="C5" t="s">
        <v>27</v>
      </c>
      <c r="D5" s="14">
        <v>4</v>
      </c>
      <c r="E5" s="13">
        <f>XTravelHalf</f>
        <v>50</v>
      </c>
      <c r="F5" s="2">
        <f>Calculator!C27</f>
        <v>50</v>
      </c>
      <c r="G5" s="2">
        <f>Calculator!D27</f>
        <v>50</v>
      </c>
      <c r="H5" s="2">
        <f>Calculator!E27</f>
        <v>50</v>
      </c>
      <c r="I5" s="2">
        <f t="shared" si="2"/>
        <v>50</v>
      </c>
      <c r="J5" s="2">
        <f t="shared" si="3"/>
        <v>0</v>
      </c>
      <c r="K5" s="1">
        <f t="shared" si="0"/>
        <v>0</v>
      </c>
      <c r="L5" s="8">
        <f t="shared" si="4"/>
        <v>0</v>
      </c>
      <c r="M5" s="13">
        <f t="shared" si="5"/>
        <v>1</v>
      </c>
      <c r="N5" s="8">
        <f t="shared" si="6"/>
        <v>0</v>
      </c>
      <c r="O5" s="13">
        <f t="shared" si="1"/>
        <v>1</v>
      </c>
      <c r="P5" s="26">
        <f t="shared" si="7"/>
        <v>1</v>
      </c>
      <c r="Q5">
        <v>4</v>
      </c>
    </row>
    <row r="6" spans="1:32" x14ac:dyDescent="0.25">
      <c r="A6" s="133" t="s">
        <v>14</v>
      </c>
      <c r="C6" t="s">
        <v>26</v>
      </c>
      <c r="D6" s="14">
        <v>5</v>
      </c>
      <c r="E6" s="13">
        <f>YTravel</f>
        <v>100</v>
      </c>
      <c r="F6" s="2">
        <f>Calculator!C28</f>
        <v>100</v>
      </c>
      <c r="G6" s="2">
        <f>Calculator!D28</f>
        <v>100</v>
      </c>
      <c r="H6" s="2">
        <f>Calculator!E28</f>
        <v>100</v>
      </c>
      <c r="I6" s="2">
        <f t="shared" si="2"/>
        <v>100</v>
      </c>
      <c r="J6" s="2">
        <f t="shared" si="3"/>
        <v>0</v>
      </c>
      <c r="K6" s="1">
        <f t="shared" si="0"/>
        <v>0</v>
      </c>
      <c r="L6" s="8">
        <f t="shared" si="4"/>
        <v>0</v>
      </c>
      <c r="M6" s="13">
        <f t="shared" si="5"/>
        <v>1</v>
      </c>
      <c r="N6" s="8">
        <f t="shared" si="6"/>
        <v>0</v>
      </c>
      <c r="O6" s="13">
        <f t="shared" si="1"/>
        <v>1</v>
      </c>
      <c r="P6" s="26">
        <f t="shared" si="7"/>
        <v>1</v>
      </c>
      <c r="Q6">
        <v>5</v>
      </c>
    </row>
    <row r="7" spans="1:32" x14ac:dyDescent="0.25">
      <c r="A7" s="133"/>
      <c r="C7" t="s">
        <v>26</v>
      </c>
      <c r="D7" s="14">
        <v>6</v>
      </c>
      <c r="E7" s="13">
        <f>YTravelHalf</f>
        <v>50</v>
      </c>
      <c r="F7" s="2">
        <f>Calculator!C29</f>
        <v>50</v>
      </c>
      <c r="G7" s="2">
        <f>Calculator!D29</f>
        <v>50</v>
      </c>
      <c r="H7" s="2">
        <f>Calculator!E29</f>
        <v>50</v>
      </c>
      <c r="I7" s="2">
        <f t="shared" si="2"/>
        <v>50</v>
      </c>
      <c r="J7" s="2">
        <f t="shared" si="3"/>
        <v>0</v>
      </c>
      <c r="K7" s="1">
        <f t="shared" si="0"/>
        <v>0</v>
      </c>
      <c r="L7" s="8">
        <f t="shared" si="4"/>
        <v>0</v>
      </c>
      <c r="M7" s="13">
        <f t="shared" si="5"/>
        <v>1</v>
      </c>
      <c r="N7" s="8">
        <f t="shared" si="6"/>
        <v>0</v>
      </c>
      <c r="O7" s="13">
        <f t="shared" si="1"/>
        <v>1</v>
      </c>
      <c r="P7" s="26">
        <f t="shared" si="7"/>
        <v>1</v>
      </c>
      <c r="Q7">
        <v>6</v>
      </c>
    </row>
    <row r="8" spans="1:32" x14ac:dyDescent="0.25">
      <c r="A8" s="133"/>
      <c r="C8" t="s">
        <v>27</v>
      </c>
      <c r="D8" s="14">
        <v>7</v>
      </c>
      <c r="E8" s="13">
        <f>YTravel</f>
        <v>100</v>
      </c>
      <c r="F8" s="2">
        <f>Calculator!C30</f>
        <v>100</v>
      </c>
      <c r="G8" s="2">
        <f>Calculator!D30</f>
        <v>100</v>
      </c>
      <c r="H8" s="2">
        <f>Calculator!E30</f>
        <v>100</v>
      </c>
      <c r="I8" s="2">
        <f t="shared" si="2"/>
        <v>100</v>
      </c>
      <c r="J8" s="2">
        <f t="shared" si="3"/>
        <v>0</v>
      </c>
      <c r="K8" s="1">
        <f t="shared" si="0"/>
        <v>0</v>
      </c>
      <c r="L8" s="8">
        <f t="shared" si="4"/>
        <v>0</v>
      </c>
      <c r="M8" s="13">
        <f t="shared" si="5"/>
        <v>1</v>
      </c>
      <c r="N8" s="8">
        <f t="shared" si="6"/>
        <v>0</v>
      </c>
      <c r="O8" s="13">
        <f t="shared" si="1"/>
        <v>1</v>
      </c>
      <c r="P8" s="26">
        <f t="shared" si="7"/>
        <v>1</v>
      </c>
      <c r="Q8">
        <v>7</v>
      </c>
    </row>
    <row r="9" spans="1:32" x14ac:dyDescent="0.25">
      <c r="A9" s="133"/>
      <c r="C9" t="s">
        <v>27</v>
      </c>
      <c r="D9" s="14">
        <v>8</v>
      </c>
      <c r="E9" s="13">
        <f>YTravelHalf</f>
        <v>50</v>
      </c>
      <c r="F9" s="2">
        <f>Calculator!C31</f>
        <v>50</v>
      </c>
      <c r="G9" s="2">
        <f>Calculator!D31</f>
        <v>50</v>
      </c>
      <c r="H9" s="2">
        <f>Calculator!E31</f>
        <v>50</v>
      </c>
      <c r="I9" s="2">
        <f t="shared" si="2"/>
        <v>50</v>
      </c>
      <c r="J9" s="2">
        <f t="shared" si="3"/>
        <v>0</v>
      </c>
      <c r="K9" s="1">
        <f t="shared" si="0"/>
        <v>0</v>
      </c>
      <c r="L9" s="8">
        <f t="shared" si="4"/>
        <v>0</v>
      </c>
      <c r="M9" s="13">
        <f t="shared" si="5"/>
        <v>1</v>
      </c>
      <c r="N9" s="8">
        <f t="shared" si="6"/>
        <v>0</v>
      </c>
      <c r="O9" s="13">
        <f t="shared" si="1"/>
        <v>1</v>
      </c>
      <c r="P9" s="26">
        <f t="shared" si="7"/>
        <v>1</v>
      </c>
      <c r="Q9">
        <v>8</v>
      </c>
    </row>
    <row r="10" spans="1:32" ht="15.75" customHeight="1" x14ac:dyDescent="0.25">
      <c r="A10" s="133" t="s">
        <v>15</v>
      </c>
      <c r="C10" t="s">
        <v>26</v>
      </c>
      <c r="D10" s="14"/>
      <c r="E10" s="13">
        <f>ZVertical</f>
        <v>90</v>
      </c>
      <c r="F10" s="55">
        <f>ZVertical</f>
        <v>90</v>
      </c>
      <c r="G10" s="55">
        <f>ZVertical</f>
        <v>90</v>
      </c>
      <c r="H10" s="55">
        <f>ZVertical</f>
        <v>90</v>
      </c>
      <c r="I10" s="2">
        <f t="shared" si="2"/>
        <v>90</v>
      </c>
      <c r="J10" s="2">
        <f t="shared" si="3"/>
        <v>0</v>
      </c>
      <c r="K10" s="27">
        <f t="shared" si="0"/>
        <v>0</v>
      </c>
      <c r="L10" s="8">
        <f t="shared" si="4"/>
        <v>0</v>
      </c>
      <c r="M10" s="13">
        <f t="shared" si="5"/>
        <v>1</v>
      </c>
      <c r="N10" s="8">
        <f t="shared" si="6"/>
        <v>0</v>
      </c>
      <c r="O10" s="13">
        <f t="shared" si="1"/>
        <v>1</v>
      </c>
      <c r="P10" s="26">
        <f t="shared" si="7"/>
        <v>1</v>
      </c>
      <c r="Q10">
        <v>9</v>
      </c>
    </row>
    <row r="11" spans="1:32" ht="15.75" customHeight="1" x14ac:dyDescent="0.25">
      <c r="A11" s="133"/>
      <c r="C11" t="s">
        <v>26</v>
      </c>
      <c r="D11" s="14"/>
      <c r="E11" s="13">
        <f>ZVerticalHalf</f>
        <v>45</v>
      </c>
      <c r="F11" s="55">
        <f>ZVerticalHalf</f>
        <v>45</v>
      </c>
      <c r="G11" s="55">
        <f>ZVerticalHalf</f>
        <v>45</v>
      </c>
      <c r="H11" s="55">
        <f>ZVerticalHalf</f>
        <v>45</v>
      </c>
      <c r="I11" s="2">
        <f t="shared" si="2"/>
        <v>45</v>
      </c>
      <c r="J11" s="2">
        <f t="shared" si="3"/>
        <v>0</v>
      </c>
      <c r="K11" s="27">
        <f t="shared" si="0"/>
        <v>0</v>
      </c>
      <c r="L11" s="8">
        <f t="shared" si="4"/>
        <v>0</v>
      </c>
      <c r="M11" s="13">
        <f t="shared" si="5"/>
        <v>1</v>
      </c>
      <c r="N11" s="8">
        <f t="shared" si="6"/>
        <v>0</v>
      </c>
      <c r="O11" s="13">
        <f t="shared" si="1"/>
        <v>1</v>
      </c>
      <c r="P11" s="26">
        <f t="shared" si="7"/>
        <v>1</v>
      </c>
      <c r="Q11">
        <v>10</v>
      </c>
    </row>
    <row r="12" spans="1:32" ht="15.75" customHeight="1" x14ac:dyDescent="0.25">
      <c r="A12" s="133" t="s">
        <v>90</v>
      </c>
      <c r="B12" s="32" t="s">
        <v>163</v>
      </c>
      <c r="C12" t="s">
        <v>26</v>
      </c>
      <c r="D12" s="14">
        <v>9</v>
      </c>
      <c r="E12" s="13">
        <f>XYDiag</f>
        <v>100</v>
      </c>
      <c r="F12" s="2">
        <f>Calculator!C32</f>
        <v>100</v>
      </c>
      <c r="G12" s="2">
        <f>Calculator!D32</f>
        <v>100</v>
      </c>
      <c r="H12" s="2">
        <f>Calculator!E32</f>
        <v>100</v>
      </c>
      <c r="I12" s="2">
        <f t="shared" si="2"/>
        <v>100</v>
      </c>
      <c r="J12" s="2">
        <f t="shared" si="3"/>
        <v>0</v>
      </c>
      <c r="K12" s="1">
        <f t="shared" si="0"/>
        <v>0</v>
      </c>
      <c r="L12" s="8">
        <f t="shared" si="4"/>
        <v>0</v>
      </c>
      <c r="M12" s="13">
        <f t="shared" si="5"/>
        <v>1</v>
      </c>
      <c r="N12" s="8">
        <f>MAX(F12:H12)-MIN(F12:H12)</f>
        <v>0</v>
      </c>
      <c r="O12" s="13">
        <f t="shared" si="1"/>
        <v>1</v>
      </c>
      <c r="P12" s="26">
        <f t="shared" si="7"/>
        <v>1</v>
      </c>
      <c r="Q12">
        <v>11</v>
      </c>
    </row>
    <row r="13" spans="1:32" ht="15.75" customHeight="1" x14ac:dyDescent="0.25">
      <c r="A13" s="133"/>
      <c r="B13" s="32" t="s">
        <v>164</v>
      </c>
      <c r="C13" t="s">
        <v>26</v>
      </c>
      <c r="D13" s="14">
        <v>10</v>
      </c>
      <c r="E13" s="13">
        <f>XYDiag</f>
        <v>100</v>
      </c>
      <c r="F13" s="2">
        <f>Calculator!C33</f>
        <v>100</v>
      </c>
      <c r="G13" s="2">
        <f>Calculator!D33</f>
        <v>100</v>
      </c>
      <c r="H13" s="2">
        <f>Calculator!E33</f>
        <v>100</v>
      </c>
      <c r="I13" s="2">
        <f t="shared" si="2"/>
        <v>100</v>
      </c>
      <c r="J13" s="2">
        <f t="shared" si="3"/>
        <v>0</v>
      </c>
      <c r="K13" s="1">
        <f t="shared" si="0"/>
        <v>0</v>
      </c>
      <c r="L13" s="8">
        <f t="shared" si="4"/>
        <v>0</v>
      </c>
      <c r="M13" s="13">
        <f t="shared" si="5"/>
        <v>1</v>
      </c>
      <c r="N13" s="8">
        <f t="shared" si="6"/>
        <v>0</v>
      </c>
      <c r="O13" s="13">
        <f t="shared" si="1"/>
        <v>1</v>
      </c>
      <c r="P13" s="26">
        <f t="shared" si="7"/>
        <v>1</v>
      </c>
      <c r="Q13">
        <v>13</v>
      </c>
    </row>
    <row r="14" spans="1:32" ht="15.75" customHeight="1" x14ac:dyDescent="0.25">
      <c r="A14" s="133" t="s">
        <v>91</v>
      </c>
      <c r="B14" s="32" t="s">
        <v>163</v>
      </c>
      <c r="C14" t="s">
        <v>26</v>
      </c>
      <c r="D14" s="14">
        <v>11</v>
      </c>
      <c r="E14" s="13">
        <f>ZXDiag</f>
        <v>100</v>
      </c>
      <c r="F14" s="2">
        <f>Calculator!C34</f>
        <v>100</v>
      </c>
      <c r="G14" s="2">
        <f>Calculator!D34</f>
        <v>100</v>
      </c>
      <c r="H14" s="2">
        <f>Calculator!E34</f>
        <v>100</v>
      </c>
      <c r="I14" s="2">
        <f t="shared" si="2"/>
        <v>100</v>
      </c>
      <c r="J14" s="2">
        <f t="shared" si="3"/>
        <v>0</v>
      </c>
      <c r="K14" s="1">
        <f t="shared" si="0"/>
        <v>0</v>
      </c>
      <c r="L14" s="8">
        <f t="shared" si="4"/>
        <v>0</v>
      </c>
      <c r="M14" s="13">
        <f t="shared" si="5"/>
        <v>1</v>
      </c>
      <c r="N14" s="8">
        <f t="shared" si="6"/>
        <v>0</v>
      </c>
      <c r="O14" s="13">
        <f t="shared" si="1"/>
        <v>1</v>
      </c>
      <c r="P14" s="26">
        <f t="shared" si="7"/>
        <v>1</v>
      </c>
      <c r="Q14" s="42">
        <v>15</v>
      </c>
      <c r="V14" s="4"/>
      <c r="W14" s="42"/>
      <c r="Y14" s="8"/>
      <c r="Z14" s="19"/>
      <c r="AC14" s="39"/>
      <c r="AD14" s="14"/>
      <c r="AE14" s="8"/>
      <c r="AF14" s="19"/>
    </row>
    <row r="15" spans="1:32" ht="16.5" customHeight="1" x14ac:dyDescent="0.25">
      <c r="A15" s="133"/>
      <c r="B15" s="32" t="s">
        <v>164</v>
      </c>
      <c r="C15" t="s">
        <v>26</v>
      </c>
      <c r="D15" s="14">
        <v>12</v>
      </c>
      <c r="E15" s="13">
        <f>ZXDiag</f>
        <v>100</v>
      </c>
      <c r="F15" s="2">
        <f>Calculator!C35</f>
        <v>100</v>
      </c>
      <c r="G15" s="2">
        <f>Calculator!D35</f>
        <v>100</v>
      </c>
      <c r="H15" s="2">
        <f>Calculator!E35</f>
        <v>100</v>
      </c>
      <c r="I15" s="2">
        <f t="shared" si="2"/>
        <v>100</v>
      </c>
      <c r="J15" s="2">
        <f t="shared" si="3"/>
        <v>0</v>
      </c>
      <c r="K15" s="1">
        <f t="shared" si="0"/>
        <v>0</v>
      </c>
      <c r="L15" s="8">
        <f t="shared" si="4"/>
        <v>0</v>
      </c>
      <c r="M15" s="13">
        <f t="shared" si="5"/>
        <v>1</v>
      </c>
      <c r="N15" s="8">
        <f t="shared" si="6"/>
        <v>0</v>
      </c>
      <c r="O15" s="13">
        <f t="shared" si="1"/>
        <v>1</v>
      </c>
      <c r="P15" s="26">
        <f t="shared" si="7"/>
        <v>1</v>
      </c>
      <c r="Q15" s="42">
        <v>17</v>
      </c>
      <c r="W15" s="42"/>
      <c r="Y15" s="8"/>
      <c r="Z15" s="19"/>
      <c r="AC15" s="39"/>
      <c r="AD15" s="14"/>
      <c r="AE15" s="8"/>
      <c r="AF15" s="19"/>
    </row>
    <row r="16" spans="1:32" ht="15" customHeight="1" x14ac:dyDescent="0.25">
      <c r="A16" s="133" t="s">
        <v>92</v>
      </c>
      <c r="B16" s="32" t="s">
        <v>163</v>
      </c>
      <c r="C16" t="s">
        <v>26</v>
      </c>
      <c r="D16" s="14">
        <v>13</v>
      </c>
      <c r="E16" s="13">
        <f>ZYDiag</f>
        <v>100</v>
      </c>
      <c r="F16" s="2">
        <f>Calculator!C36</f>
        <v>100</v>
      </c>
      <c r="G16" s="2">
        <f>Calculator!D36</f>
        <v>100</v>
      </c>
      <c r="H16" s="2">
        <f>Calculator!E36</f>
        <v>100</v>
      </c>
      <c r="I16" s="2">
        <f t="shared" si="2"/>
        <v>100</v>
      </c>
      <c r="J16" s="2">
        <f t="shared" si="3"/>
        <v>0</v>
      </c>
      <c r="K16" s="1">
        <f t="shared" si="0"/>
        <v>0</v>
      </c>
      <c r="L16" s="8">
        <f t="shared" si="4"/>
        <v>0</v>
      </c>
      <c r="M16" s="13">
        <f t="shared" si="5"/>
        <v>1</v>
      </c>
      <c r="N16" s="8">
        <f t="shared" si="6"/>
        <v>0</v>
      </c>
      <c r="O16" s="13">
        <f t="shared" si="1"/>
        <v>1</v>
      </c>
      <c r="P16" s="26">
        <f t="shared" si="7"/>
        <v>1</v>
      </c>
      <c r="Q16">
        <v>19</v>
      </c>
    </row>
    <row r="17" spans="1:33" ht="15" customHeight="1" x14ac:dyDescent="0.25">
      <c r="A17" s="133"/>
      <c r="B17" s="32" t="s">
        <v>164</v>
      </c>
      <c r="C17" t="s">
        <v>26</v>
      </c>
      <c r="D17" s="14">
        <v>14</v>
      </c>
      <c r="E17" s="13">
        <f>ZYDiag</f>
        <v>100</v>
      </c>
      <c r="F17" s="2">
        <f>Calculator!C37</f>
        <v>100</v>
      </c>
      <c r="G17" s="2">
        <f>Calculator!D37</f>
        <v>100</v>
      </c>
      <c r="H17" s="2">
        <f>Calculator!E37</f>
        <v>100</v>
      </c>
      <c r="I17" s="2">
        <f t="shared" si="2"/>
        <v>100</v>
      </c>
      <c r="J17" s="2">
        <f t="shared" si="3"/>
        <v>0</v>
      </c>
      <c r="K17" s="1">
        <f t="shared" si="0"/>
        <v>0</v>
      </c>
      <c r="L17" s="8">
        <f t="shared" si="4"/>
        <v>0</v>
      </c>
      <c r="M17" s="13">
        <f t="shared" si="5"/>
        <v>1</v>
      </c>
      <c r="N17" s="8">
        <f t="shared" si="6"/>
        <v>0</v>
      </c>
      <c r="O17" s="13">
        <f t="shared" si="1"/>
        <v>1</v>
      </c>
      <c r="P17" s="26">
        <f t="shared" si="7"/>
        <v>1</v>
      </c>
      <c r="Q17">
        <v>21</v>
      </c>
      <c r="Z17" s="17"/>
      <c r="AF17" s="17"/>
    </row>
    <row r="18" spans="1:33" x14ac:dyDescent="0.25">
      <c r="A18" s="54"/>
      <c r="B18" s="31"/>
      <c r="D18" s="14"/>
      <c r="E18" s="13"/>
      <c r="F18" s="2"/>
      <c r="G18" s="2"/>
      <c r="H18" s="2"/>
      <c r="I18" s="2"/>
      <c r="J18" s="2"/>
      <c r="K18" s="1"/>
      <c r="L18" s="8"/>
      <c r="M18" s="13"/>
      <c r="N18" s="8"/>
      <c r="O18" s="13"/>
      <c r="P18" s="26"/>
      <c r="Q18" s="4"/>
      <c r="Z18" s="17"/>
      <c r="AF18" s="17"/>
    </row>
    <row r="19" spans="1:33" x14ac:dyDescent="0.25">
      <c r="G19" s="1"/>
      <c r="H19" s="1"/>
      <c r="I19" s="1"/>
      <c r="J19" s="1"/>
      <c r="K19" s="1"/>
      <c r="L19" s="1"/>
      <c r="M19" s="1"/>
      <c r="N19" s="1"/>
      <c r="O19" s="1"/>
      <c r="P19" s="1"/>
      <c r="Q19" s="38"/>
      <c r="Z19" s="17"/>
      <c r="AF19" s="17"/>
    </row>
    <row r="20" spans="1:33" x14ac:dyDescent="0.25">
      <c r="B20" s="33" t="s">
        <v>93</v>
      </c>
      <c r="C20" s="14" t="s">
        <v>94</v>
      </c>
      <c r="D20" s="6"/>
      <c r="G20" s="1"/>
      <c r="H20" s="1"/>
      <c r="I20" s="1"/>
      <c r="J20" s="1"/>
      <c r="K20" s="1"/>
      <c r="L20" s="1"/>
      <c r="M20" s="1"/>
      <c r="N20" s="1"/>
      <c r="O20" s="1"/>
      <c r="P20" s="1"/>
      <c r="Q20" s="39"/>
      <c r="V20" s="2"/>
      <c r="W20" s="39"/>
      <c r="Z20" s="23"/>
      <c r="AA20" s="2"/>
      <c r="AC20" s="39"/>
      <c r="AF20" s="23"/>
      <c r="AG20" s="2"/>
    </row>
    <row r="21" spans="1:33" ht="15.75" customHeight="1" x14ac:dyDescent="0.25">
      <c r="A21" s="6" t="s">
        <v>95</v>
      </c>
      <c r="B21" s="13">
        <v>0.15</v>
      </c>
      <c r="C21" s="13">
        <v>0.5</v>
      </c>
      <c r="D21" s="13"/>
      <c r="E21" s="2"/>
      <c r="F21" s="6" t="s">
        <v>166</v>
      </c>
      <c r="G21" s="1"/>
      <c r="H21" s="1"/>
      <c r="I21" s="1"/>
      <c r="J21" s="1"/>
      <c r="K21" s="6"/>
      <c r="M21" s="1"/>
      <c r="N21" s="1"/>
      <c r="O21" s="1"/>
      <c r="P21" s="1"/>
      <c r="Q21" s="39"/>
      <c r="Z21" s="23"/>
      <c r="AF21" s="23"/>
    </row>
    <row r="22" spans="1:33" ht="15.75" customHeight="1" x14ac:dyDescent="0.25">
      <c r="A22" s="6" t="s">
        <v>96</v>
      </c>
      <c r="B22" s="13">
        <v>0.8</v>
      </c>
      <c r="C22" s="13">
        <v>1.2</v>
      </c>
      <c r="D22" s="13"/>
      <c r="F22" t="s">
        <v>155</v>
      </c>
      <c r="G22" s="1"/>
      <c r="H22" s="1"/>
      <c r="I22" s="1"/>
      <c r="J22" s="1"/>
      <c r="K22" s="24"/>
      <c r="L22" s="24"/>
      <c r="M22" s="1"/>
      <c r="N22" s="1"/>
      <c r="O22" s="1"/>
      <c r="P22" s="1"/>
      <c r="Q22" s="39"/>
      <c r="Z22" s="23"/>
      <c r="AF22" s="20"/>
    </row>
    <row r="23" spans="1:33" ht="15.75" customHeight="1" x14ac:dyDescent="0.25">
      <c r="C23" s="6"/>
      <c r="D23" s="13"/>
      <c r="E23" s="2"/>
      <c r="F23" t="s">
        <v>154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39"/>
      <c r="AF23" s="20"/>
    </row>
    <row r="24" spans="1:33" ht="15.75" customHeight="1" x14ac:dyDescent="0.25">
      <c r="A24" s="40" t="s">
        <v>97</v>
      </c>
      <c r="D24" s="13"/>
      <c r="E24" s="2"/>
      <c r="F24" t="s">
        <v>162</v>
      </c>
      <c r="G24" s="1"/>
      <c r="H24" s="1"/>
      <c r="I24" s="1"/>
      <c r="J24" s="1"/>
      <c r="K24" s="1"/>
      <c r="L24" s="1"/>
      <c r="M24" s="1"/>
      <c r="N24" s="1"/>
      <c r="O24" s="1"/>
      <c r="P24" s="1"/>
      <c r="AF24" s="23"/>
    </row>
    <row r="25" spans="1:33" x14ac:dyDescent="0.25">
      <c r="A25" s="29" t="s">
        <v>4</v>
      </c>
      <c r="D25" s="13"/>
      <c r="E25" s="2"/>
      <c r="F25" t="s">
        <v>156</v>
      </c>
      <c r="G25" s="1"/>
      <c r="H25" s="1"/>
      <c r="AF25" s="23"/>
    </row>
    <row r="26" spans="1:33" x14ac:dyDescent="0.25">
      <c r="A26" s="29" t="s">
        <v>8</v>
      </c>
      <c r="E26" s="3"/>
      <c r="AF26" s="23"/>
    </row>
    <row r="27" spans="1:33" x14ac:dyDescent="0.25">
      <c r="A27" s="29" t="s">
        <v>11</v>
      </c>
    </row>
    <row r="28" spans="1:33" x14ac:dyDescent="0.25">
      <c r="A28" s="29" t="s">
        <v>98</v>
      </c>
      <c r="X28" s="6"/>
      <c r="AD28" s="6"/>
    </row>
    <row r="29" spans="1:33" x14ac:dyDescent="0.25">
      <c r="A29" s="29"/>
      <c r="X29" s="6"/>
      <c r="AD29" s="6"/>
    </row>
    <row r="30" spans="1:33" ht="15.75" x14ac:dyDescent="0.25">
      <c r="A30" s="30" t="s">
        <v>167</v>
      </c>
      <c r="L30" t="s">
        <v>175</v>
      </c>
      <c r="P30" t="s">
        <v>179</v>
      </c>
      <c r="X30" s="6"/>
      <c r="AD30" s="6"/>
    </row>
    <row r="31" spans="1:33" x14ac:dyDescent="0.25">
      <c r="B31" s="14" t="s">
        <v>79</v>
      </c>
      <c r="C31" s="14" t="s">
        <v>107</v>
      </c>
      <c r="L31">
        <v>100</v>
      </c>
      <c r="M31">
        <v>100</v>
      </c>
      <c r="N31">
        <v>100</v>
      </c>
      <c r="P31">
        <v>99</v>
      </c>
      <c r="Q31">
        <v>98</v>
      </c>
      <c r="R31">
        <v>97</v>
      </c>
      <c r="S31" s="51"/>
      <c r="Y31" s="51"/>
      <c r="AE31" s="51"/>
    </row>
    <row r="32" spans="1:33" x14ac:dyDescent="0.25">
      <c r="A32" t="s">
        <v>108</v>
      </c>
      <c r="B32" s="13">
        <f>100*scale</f>
        <v>100</v>
      </c>
      <c r="C32" s="13">
        <f>B32/2</f>
        <v>50</v>
      </c>
      <c r="L32">
        <v>50</v>
      </c>
      <c r="M32">
        <v>50</v>
      </c>
      <c r="N32">
        <v>50</v>
      </c>
      <c r="P32">
        <v>49</v>
      </c>
      <c r="Q32">
        <v>48</v>
      </c>
      <c r="R32" s="6">
        <v>47</v>
      </c>
      <c r="S32" s="52"/>
      <c r="X32" s="6"/>
      <c r="Y32" s="52"/>
      <c r="AD32" s="6"/>
      <c r="AE32" s="52"/>
    </row>
    <row r="33" spans="1:18" x14ac:dyDescent="0.25">
      <c r="A33" t="s">
        <v>109</v>
      </c>
      <c r="B33" s="13">
        <f>100*scale</f>
        <v>100</v>
      </c>
      <c r="C33" s="13">
        <f t="shared" ref="C33:C34" si="8">B33/2</f>
        <v>50</v>
      </c>
      <c r="L33">
        <v>100</v>
      </c>
      <c r="M33">
        <v>100</v>
      </c>
      <c r="N33">
        <v>100</v>
      </c>
      <c r="P33">
        <v>99.5</v>
      </c>
      <c r="Q33">
        <v>99.1</v>
      </c>
      <c r="R33">
        <v>99.21</v>
      </c>
    </row>
    <row r="34" spans="1:18" x14ac:dyDescent="0.25">
      <c r="A34" t="s">
        <v>110</v>
      </c>
      <c r="B34" s="13">
        <f>90*scale</f>
        <v>90</v>
      </c>
      <c r="C34" s="13">
        <f t="shared" si="8"/>
        <v>45</v>
      </c>
      <c r="L34">
        <v>50</v>
      </c>
      <c r="M34">
        <v>50</v>
      </c>
      <c r="N34">
        <v>50</v>
      </c>
      <c r="P34">
        <v>49</v>
      </c>
      <c r="Q34">
        <v>46</v>
      </c>
      <c r="R34">
        <v>51</v>
      </c>
    </row>
    <row r="35" spans="1:18" x14ac:dyDescent="0.25">
      <c r="A35" t="s">
        <v>111</v>
      </c>
      <c r="B35" s="21">
        <f>100*scale</f>
        <v>100</v>
      </c>
      <c r="D35" s="25"/>
      <c r="L35">
        <v>100</v>
      </c>
      <c r="M35">
        <v>100</v>
      </c>
      <c r="N35">
        <v>100</v>
      </c>
      <c r="P35">
        <v>99.8</v>
      </c>
      <c r="Q35">
        <v>99.6</v>
      </c>
      <c r="R35">
        <v>100.1</v>
      </c>
    </row>
    <row r="36" spans="1:18" x14ac:dyDescent="0.25">
      <c r="A36" t="s">
        <v>145</v>
      </c>
      <c r="B36" s="21">
        <f>100*scale</f>
        <v>100</v>
      </c>
      <c r="D36" s="25"/>
      <c r="L36">
        <v>50</v>
      </c>
      <c r="M36">
        <v>50</v>
      </c>
      <c r="N36">
        <v>50</v>
      </c>
      <c r="P36">
        <v>51</v>
      </c>
      <c r="Q36">
        <v>52</v>
      </c>
      <c r="R36">
        <v>49</v>
      </c>
    </row>
    <row r="37" spans="1:18" x14ac:dyDescent="0.25">
      <c r="A37" t="s">
        <v>146</v>
      </c>
      <c r="B37" s="21">
        <f>100*scale</f>
        <v>100</v>
      </c>
      <c r="D37" s="25"/>
      <c r="L37">
        <v>100</v>
      </c>
      <c r="M37">
        <v>100</v>
      </c>
      <c r="N37">
        <v>100</v>
      </c>
      <c r="P37">
        <v>100.5</v>
      </c>
      <c r="Q37">
        <v>99.5</v>
      </c>
      <c r="R37">
        <v>99.8</v>
      </c>
    </row>
    <row r="38" spans="1:18" x14ac:dyDescent="0.25">
      <c r="B38" s="21"/>
      <c r="D38" s="25"/>
      <c r="L38">
        <v>50</v>
      </c>
      <c r="M38">
        <v>50</v>
      </c>
      <c r="N38">
        <v>50</v>
      </c>
      <c r="P38">
        <v>49</v>
      </c>
      <c r="Q38">
        <v>48</v>
      </c>
      <c r="R38">
        <v>47</v>
      </c>
    </row>
    <row r="39" spans="1:18" ht="15.75" x14ac:dyDescent="0.25">
      <c r="A39" s="30" t="s">
        <v>168</v>
      </c>
      <c r="E39" s="3"/>
      <c r="L39">
        <v>100</v>
      </c>
      <c r="M39">
        <v>100</v>
      </c>
      <c r="N39">
        <v>100</v>
      </c>
      <c r="P39">
        <v>101</v>
      </c>
      <c r="Q39">
        <v>102</v>
      </c>
      <c r="R39">
        <v>101</v>
      </c>
    </row>
    <row r="40" spans="1:18" x14ac:dyDescent="0.25">
      <c r="B40" s="14" t="s">
        <v>112</v>
      </c>
      <c r="C40" s="15" t="s">
        <v>113</v>
      </c>
      <c r="D40" s="14" t="s">
        <v>114</v>
      </c>
      <c r="E40" s="14" t="s">
        <v>27</v>
      </c>
      <c r="F40" s="11" t="s">
        <v>26</v>
      </c>
      <c r="L40">
        <v>100</v>
      </c>
      <c r="M40">
        <v>100</v>
      </c>
      <c r="N40">
        <v>100</v>
      </c>
      <c r="P40">
        <v>102</v>
      </c>
      <c r="Q40">
        <v>103</v>
      </c>
      <c r="R40">
        <v>101</v>
      </c>
    </row>
    <row r="41" spans="1:18" x14ac:dyDescent="0.25">
      <c r="A41" t="s">
        <v>24</v>
      </c>
      <c r="B41" s="5">
        <f>AVERAGE(K2:K5)</f>
        <v>0</v>
      </c>
      <c r="C41" s="5">
        <f>AVERAGE(K6:K9)</f>
        <v>0</v>
      </c>
      <c r="D41" s="5">
        <f>AVERAGE(K10:K11)</f>
        <v>0</v>
      </c>
      <c r="E41" s="5">
        <f>AVERAGE(K4:K5,K8:K9)</f>
        <v>0</v>
      </c>
      <c r="F41" s="5">
        <f>AVERAGE(K2:K3,K6:K7)</f>
        <v>0</v>
      </c>
      <c r="L41">
        <v>100</v>
      </c>
      <c r="M41">
        <v>100</v>
      </c>
      <c r="N41">
        <v>100</v>
      </c>
      <c r="P41">
        <v>99</v>
      </c>
      <c r="Q41">
        <v>101</v>
      </c>
      <c r="R41">
        <v>98</v>
      </c>
    </row>
    <row r="42" spans="1:18" x14ac:dyDescent="0.25">
      <c r="B42" s="5"/>
      <c r="C42" s="5"/>
      <c r="D42" s="5"/>
      <c r="E42" s="5"/>
      <c r="F42" s="5"/>
      <c r="L42">
        <v>100</v>
      </c>
      <c r="M42">
        <v>100</v>
      </c>
      <c r="N42">
        <v>100</v>
      </c>
      <c r="P42">
        <v>101</v>
      </c>
      <c r="Q42">
        <v>101</v>
      </c>
      <c r="R42">
        <v>98</v>
      </c>
    </row>
    <row r="43" spans="1:18" x14ac:dyDescent="0.25">
      <c r="B43" s="14" t="s">
        <v>115</v>
      </c>
      <c r="C43" s="14" t="s">
        <v>116</v>
      </c>
      <c r="D43" s="22" t="s">
        <v>117</v>
      </c>
      <c r="E43" s="14"/>
      <c r="F43" s="11"/>
      <c r="G43" s="6"/>
      <c r="H43" s="11"/>
      <c r="I43" s="6"/>
      <c r="J43" s="6"/>
      <c r="K43" s="6"/>
      <c r="L43">
        <v>100</v>
      </c>
      <c r="M43">
        <v>100</v>
      </c>
      <c r="N43">
        <v>100</v>
      </c>
      <c r="P43">
        <v>97</v>
      </c>
      <c r="Q43">
        <v>102</v>
      </c>
      <c r="R43">
        <v>101</v>
      </c>
    </row>
    <row r="44" spans="1:18" x14ac:dyDescent="0.25">
      <c r="A44" s="29" t="s">
        <v>13</v>
      </c>
      <c r="B44" s="28">
        <f>AVERAGE(I2,I4)</f>
        <v>100</v>
      </c>
      <c r="C44" s="28">
        <f>AVERAGE(I3,I5)</f>
        <v>50</v>
      </c>
      <c r="D44" s="19">
        <f>B44*2</f>
        <v>200</v>
      </c>
      <c r="E44" s="28"/>
      <c r="F44" s="28"/>
      <c r="G44" s="5"/>
      <c r="H44" s="28"/>
      <c r="I44" s="5"/>
      <c r="J44" s="5"/>
      <c r="K44" s="5"/>
      <c r="L44">
        <v>100</v>
      </c>
      <c r="M44">
        <v>100</v>
      </c>
      <c r="N44">
        <v>100</v>
      </c>
      <c r="P44">
        <v>99</v>
      </c>
      <c r="Q44">
        <v>97</v>
      </c>
      <c r="R44">
        <v>101</v>
      </c>
    </row>
    <row r="45" spans="1:18" x14ac:dyDescent="0.25">
      <c r="A45" s="29" t="s">
        <v>14</v>
      </c>
      <c r="B45" s="28">
        <f>AVERAGE(I6,I8)</f>
        <v>100</v>
      </c>
      <c r="C45" s="28">
        <f>AVERAGE(I7,I9)</f>
        <v>50</v>
      </c>
      <c r="D45" s="19">
        <f>B45*2</f>
        <v>200</v>
      </c>
      <c r="E45" s="28"/>
      <c r="F45" s="28"/>
      <c r="G45" s="5"/>
      <c r="H45" s="28"/>
      <c r="I45" s="5"/>
      <c r="J45" s="5"/>
      <c r="K45" s="5"/>
    </row>
    <row r="46" spans="1:18" x14ac:dyDescent="0.25">
      <c r="A46" s="29" t="s">
        <v>15</v>
      </c>
      <c r="B46" s="28">
        <f>I10</f>
        <v>90</v>
      </c>
      <c r="C46" s="28">
        <f>I11</f>
        <v>45</v>
      </c>
      <c r="D46" s="19">
        <f>B46*2</f>
        <v>180</v>
      </c>
      <c r="E46" s="28"/>
      <c r="F46" s="28"/>
      <c r="G46" s="5"/>
      <c r="H46" s="28"/>
      <c r="I46" s="5"/>
      <c r="J46" s="5"/>
      <c r="K46" s="5"/>
    </row>
    <row r="47" spans="1:18" x14ac:dyDescent="0.25">
      <c r="C47" s="18"/>
      <c r="E47" s="4"/>
      <c r="I47" s="4"/>
      <c r="J47" s="4"/>
      <c r="K47" s="4"/>
    </row>
    <row r="48" spans="1:18" ht="15.75" x14ac:dyDescent="0.25">
      <c r="A48" s="30" t="s">
        <v>143</v>
      </c>
    </row>
    <row r="49" spans="1:31" x14ac:dyDescent="0.25">
      <c r="A49" s="12" t="str">
        <f>Calculator!A8</f>
        <v>Klipper</v>
      </c>
      <c r="B49" s="14" t="s">
        <v>5</v>
      </c>
      <c r="C49" s="14" t="s">
        <v>9</v>
      </c>
      <c r="D49" s="14" t="s">
        <v>10</v>
      </c>
      <c r="E49" s="13"/>
    </row>
    <row r="50" spans="1:31" x14ac:dyDescent="0.25">
      <c r="A50" t="s">
        <v>100</v>
      </c>
      <c r="B50" s="43">
        <f>Calculator!B10</f>
        <v>0</v>
      </c>
      <c r="C50" s="43">
        <f>Calculator!C10</f>
        <v>0</v>
      </c>
      <c r="D50" s="43">
        <f>Calculator!D10</f>
        <v>0</v>
      </c>
      <c r="E50" s="13"/>
    </row>
    <row r="51" spans="1:31" x14ac:dyDescent="0.25">
      <c r="A51" t="s">
        <v>2</v>
      </c>
      <c r="B51" s="37">
        <f>DEGREES(B50)</f>
        <v>0</v>
      </c>
      <c r="C51" s="37">
        <f>DEGREES(C50)</f>
        <v>0</v>
      </c>
      <c r="D51" s="37">
        <f>DEGREES(D50)</f>
        <v>0</v>
      </c>
      <c r="E51" s="13"/>
    </row>
    <row r="52" spans="1:31" x14ac:dyDescent="0.25">
      <c r="E52" s="13"/>
    </row>
    <row r="53" spans="1:31" x14ac:dyDescent="0.25">
      <c r="A53" s="12" t="str">
        <f>Calculator!A12</f>
        <v>Marlin</v>
      </c>
      <c r="B53" s="14" t="s">
        <v>5</v>
      </c>
      <c r="C53" s="14" t="s">
        <v>9</v>
      </c>
      <c r="D53" s="14" t="s">
        <v>10</v>
      </c>
      <c r="E53" s="13"/>
    </row>
    <row r="54" spans="1:31" x14ac:dyDescent="0.25">
      <c r="A54" t="s">
        <v>101</v>
      </c>
      <c r="B54" s="13">
        <f>Calculator!B13</f>
        <v>0</v>
      </c>
      <c r="C54" s="13">
        <f>Calculator!C13</f>
        <v>0</v>
      </c>
      <c r="D54" s="13">
        <f>Calculator!D13</f>
        <v>0</v>
      </c>
      <c r="E54" s="13"/>
    </row>
    <row r="55" spans="1:31" x14ac:dyDescent="0.25">
      <c r="A55" t="s">
        <v>102</v>
      </c>
      <c r="B55" s="13">
        <v>100</v>
      </c>
      <c r="C55" s="13">
        <v>100</v>
      </c>
      <c r="D55" s="13">
        <v>100</v>
      </c>
    </row>
    <row r="56" spans="1:31" x14ac:dyDescent="0.25">
      <c r="A56" t="s">
        <v>103</v>
      </c>
      <c r="B56" s="13">
        <v>100</v>
      </c>
      <c r="C56" s="13">
        <v>100</v>
      </c>
      <c r="D56" s="13">
        <v>100</v>
      </c>
    </row>
    <row r="57" spans="1:31" x14ac:dyDescent="0.25">
      <c r="A57" t="s">
        <v>104</v>
      </c>
      <c r="B57" s="37">
        <f>SQRT(20000*COS(PI()/2-ATAN(B54))+20000)</f>
        <v>141.42135623730951</v>
      </c>
      <c r="C57" s="37">
        <f>SQRT(20000*COS(PI()/2-ATAN(C54))+20000)</f>
        <v>141.42135623730951</v>
      </c>
      <c r="D57" s="37">
        <f>SQRT(20000*COS(PI()/2-ATAN(D54))+20000)</f>
        <v>141.42135623730951</v>
      </c>
      <c r="S57" s="17"/>
      <c r="Y57" s="17"/>
      <c r="AE57" s="17"/>
    </row>
    <row r="58" spans="1:31" x14ac:dyDescent="0.25">
      <c r="A58" t="s">
        <v>2</v>
      </c>
      <c r="B58" s="37">
        <f>90-2*DEGREES(ACOS((B55^2+B57^2-B56^2)/(2*B55*B57)))</f>
        <v>0</v>
      </c>
      <c r="C58" s="37">
        <f t="shared" ref="C58:D58" si="9">90-2*DEGREES(ACOS((C55^2+C57^2-C56^2)/(2*C55*C57)))</f>
        <v>0</v>
      </c>
      <c r="D58" s="37">
        <f t="shared" si="9"/>
        <v>0</v>
      </c>
      <c r="S58" s="17"/>
      <c r="Y58" s="17"/>
      <c r="AE58" s="17"/>
    </row>
    <row r="59" spans="1:31" x14ac:dyDescent="0.25">
      <c r="S59" s="17"/>
      <c r="Y59" s="17"/>
      <c r="AE59" s="17"/>
    </row>
    <row r="60" spans="1:31" x14ac:dyDescent="0.25">
      <c r="B60" s="14" t="s">
        <v>5</v>
      </c>
      <c r="C60" s="14" t="s">
        <v>9</v>
      </c>
      <c r="D60" s="14" t="s">
        <v>10</v>
      </c>
      <c r="E60" s="14" t="s">
        <v>12</v>
      </c>
      <c r="S60" s="17"/>
      <c r="Y60" s="17"/>
      <c r="AE60" s="17"/>
    </row>
    <row r="61" spans="1:31" x14ac:dyDescent="0.25">
      <c r="A61" s="12" t="str">
        <f>Calculator!A15</f>
        <v>RRF</v>
      </c>
      <c r="B61" s="8">
        <f>Calculator!C16</f>
        <v>0</v>
      </c>
      <c r="C61" s="8">
        <f>Calculator!D16</f>
        <v>0</v>
      </c>
      <c r="D61" s="8">
        <f>Calculator!E16</f>
        <v>0</v>
      </c>
      <c r="E61" s="13">
        <f>Calculator!B16</f>
        <v>100</v>
      </c>
      <c r="S61" s="2"/>
      <c r="Y61" s="2"/>
      <c r="AE61" s="2"/>
    </row>
    <row r="62" spans="1:31" x14ac:dyDescent="0.25">
      <c r="A62" t="s">
        <v>105</v>
      </c>
      <c r="B62" s="37">
        <f>DEGREES(ATAN(B61/$E$61))</f>
        <v>0</v>
      </c>
      <c r="C62" s="37">
        <f>DEGREES(ATAN(C61/$E$61))</f>
        <v>0</v>
      </c>
      <c r="D62" s="37">
        <f>DEGREES(ATAN(D61/$E$61))</f>
        <v>0</v>
      </c>
      <c r="S62" s="50"/>
      <c r="Y62" s="50"/>
      <c r="AE62" s="50"/>
    </row>
    <row r="63" spans="1:31" x14ac:dyDescent="0.25">
      <c r="B63" s="37"/>
      <c r="C63" s="37"/>
      <c r="D63" s="37"/>
      <c r="S63" s="23"/>
      <c r="Y63" s="23"/>
      <c r="AE63" s="23"/>
    </row>
    <row r="64" spans="1:31" x14ac:dyDescent="0.25">
      <c r="A64" t="s">
        <v>106</v>
      </c>
      <c r="B64" s="37" t="str">
        <f>Calculator!C6</f>
        <v>None</v>
      </c>
      <c r="C64" s="37"/>
      <c r="D64" s="37"/>
      <c r="S64" s="23"/>
      <c r="Y64" s="23"/>
      <c r="AE64" s="23"/>
    </row>
    <row r="65" spans="1:31" x14ac:dyDescent="0.25">
      <c r="A65" t="s">
        <v>99</v>
      </c>
      <c r="B65" s="37">
        <f>IF($B$64="Klipper",B51,IF($B$64="Marlin",B58,IF($B$64="RRF",B62,0)))</f>
        <v>0</v>
      </c>
      <c r="C65" s="37">
        <f>IF($B$64="Klipper",C51,IF($B$64="Marlin",C58,IF($B$64="RRF",C62,0)))</f>
        <v>0</v>
      </c>
      <c r="D65" s="37">
        <f>IF($B$64="Klipper",D51,IF($B$64="Marlin",D58,IF($B$64="RRF",D62,0)))</f>
        <v>0</v>
      </c>
    </row>
    <row r="66" spans="1:31" x14ac:dyDescent="0.25">
      <c r="B66" s="37"/>
      <c r="C66" s="37"/>
      <c r="D66" s="37"/>
      <c r="S66" s="23"/>
      <c r="Y66" s="23"/>
      <c r="AE66" s="23"/>
    </row>
    <row r="67" spans="1:31" x14ac:dyDescent="0.25">
      <c r="B67" s="37"/>
      <c r="C67" s="37"/>
      <c r="D67" s="37"/>
      <c r="S67" s="23"/>
      <c r="Y67" s="23"/>
      <c r="AE67" s="23"/>
    </row>
    <row r="68" spans="1:31" ht="15.75" x14ac:dyDescent="0.25">
      <c r="A68" s="30" t="s">
        <v>165</v>
      </c>
      <c r="X68" s="6"/>
      <c r="AD68" s="6"/>
    </row>
    <row r="69" spans="1:31" x14ac:dyDescent="0.25">
      <c r="B69" s="14" t="s">
        <v>172</v>
      </c>
      <c r="C69" s="14" t="s">
        <v>173</v>
      </c>
      <c r="D69" s="14" t="s">
        <v>174</v>
      </c>
      <c r="X69" s="6"/>
      <c r="AD69" s="6"/>
    </row>
    <row r="70" spans="1:31" x14ac:dyDescent="0.25">
      <c r="A70" t="s">
        <v>163</v>
      </c>
      <c r="B70" s="17">
        <f>I12</f>
        <v>100</v>
      </c>
      <c r="C70" s="17">
        <f>I14</f>
        <v>100</v>
      </c>
      <c r="D70" s="17">
        <f>I16</f>
        <v>100</v>
      </c>
      <c r="X70" s="6"/>
      <c r="AD70" s="6"/>
    </row>
    <row r="71" spans="1:31" x14ac:dyDescent="0.25">
      <c r="A71" t="s">
        <v>164</v>
      </c>
      <c r="B71" s="17">
        <f>I13</f>
        <v>100</v>
      </c>
      <c r="C71" s="17">
        <f>I15</f>
        <v>100</v>
      </c>
      <c r="D71" s="17">
        <f>I17</f>
        <v>100</v>
      </c>
      <c r="X71" s="6"/>
      <c r="AD71" s="6"/>
    </row>
    <row r="72" spans="1:31" x14ac:dyDescent="0.25">
      <c r="A72" t="s">
        <v>118</v>
      </c>
      <c r="B72" s="17">
        <f t="shared" ref="B72:D73" si="10">B70*SQRT(2)</f>
        <v>141.42135623730951</v>
      </c>
      <c r="C72" s="17">
        <f t="shared" si="10"/>
        <v>141.42135623730951</v>
      </c>
      <c r="D72" s="17">
        <f t="shared" si="10"/>
        <v>141.42135623730951</v>
      </c>
      <c r="X72" s="6"/>
      <c r="AD72" s="6"/>
    </row>
    <row r="73" spans="1:31" x14ac:dyDescent="0.25">
      <c r="A73" t="s">
        <v>119</v>
      </c>
      <c r="B73" s="17">
        <f t="shared" si="10"/>
        <v>141.42135623730951</v>
      </c>
      <c r="C73" s="17">
        <f t="shared" si="10"/>
        <v>141.42135623730951</v>
      </c>
      <c r="D73" s="17">
        <f t="shared" si="10"/>
        <v>141.42135623730951</v>
      </c>
      <c r="X73" s="6"/>
      <c r="AD73" s="6"/>
    </row>
    <row r="74" spans="1:31" x14ac:dyDescent="0.25">
      <c r="A74" s="44" t="s">
        <v>147</v>
      </c>
      <c r="B74" s="45">
        <f>50*SQRT(2)*(1+$B$41)*scale</f>
        <v>70.710678118654755</v>
      </c>
      <c r="C74" s="45">
        <f>50*SQRT(2)*(1+$B$41)*scale</f>
        <v>70.710678118654755</v>
      </c>
      <c r="D74" s="45">
        <f>50*SQRT(2)*(1+$C$41)*scale</f>
        <v>70.710678118654755</v>
      </c>
      <c r="X74" s="6"/>
      <c r="AD74" s="6"/>
    </row>
    <row r="75" spans="1:31" x14ac:dyDescent="0.25">
      <c r="A75" s="44" t="s">
        <v>148</v>
      </c>
      <c r="B75" s="46">
        <f>SQRT(((B70^2)+(B71^2)-2*(B74^2))/2)</f>
        <v>70.710678118654755</v>
      </c>
      <c r="C75" s="46">
        <f>SQRT(((C70^2)+(C71^2)-2*(C74^2))/2)</f>
        <v>70.710678118654755</v>
      </c>
      <c r="D75" s="46">
        <f>SQRT(((D70^2)+(D71^2)-2*(D74^2))/2)</f>
        <v>70.710678118654755</v>
      </c>
      <c r="X75" s="6"/>
      <c r="AD75" s="6"/>
    </row>
    <row r="76" spans="1:31" x14ac:dyDescent="0.25">
      <c r="A76" s="44" t="s">
        <v>149</v>
      </c>
      <c r="B76" s="49">
        <f>DEGREES(ACOS(((B70^2)-(B74^2)-(B75^2))/(2*B74*B75)))</f>
        <v>90</v>
      </c>
      <c r="C76" s="45">
        <f>DEGREES(ACOS(((C70^2)-(C74^2)-(C75^2))/(2*C74*C75)))</f>
        <v>90</v>
      </c>
      <c r="D76" s="45">
        <f>DEGREES(ACOS(((D70^2)-(D74^2)-(D75^2))/(2*D74*D75)))</f>
        <v>90</v>
      </c>
      <c r="X76" s="6"/>
      <c r="AD76" s="6"/>
    </row>
    <row r="77" spans="1:31" x14ac:dyDescent="0.25">
      <c r="A77" s="44" t="s">
        <v>2</v>
      </c>
      <c r="B77" s="49">
        <f>B76-90</f>
        <v>0</v>
      </c>
      <c r="C77" s="45">
        <f>C76-90</f>
        <v>0</v>
      </c>
      <c r="D77" s="45">
        <f>D76-90</f>
        <v>0</v>
      </c>
      <c r="X77" s="6"/>
      <c r="AD77" s="6"/>
    </row>
    <row r="78" spans="1:31" x14ac:dyDescent="0.25">
      <c r="X78" s="6"/>
      <c r="AD78" s="6"/>
    </row>
    <row r="79" spans="1:31" x14ac:dyDescent="0.25">
      <c r="A79" t="s">
        <v>144</v>
      </c>
      <c r="B79" s="17">
        <f>B77</f>
        <v>0</v>
      </c>
      <c r="C79" s="17">
        <f>C77</f>
        <v>0</v>
      </c>
      <c r="D79" s="17">
        <f>D77</f>
        <v>0</v>
      </c>
      <c r="X79" s="6"/>
      <c r="AD79" s="6"/>
    </row>
    <row r="80" spans="1:31" x14ac:dyDescent="0.25">
      <c r="A80" t="s">
        <v>150</v>
      </c>
      <c r="B80" s="23">
        <f>B65</f>
        <v>0</v>
      </c>
      <c r="C80" s="17">
        <f>C65</f>
        <v>0</v>
      </c>
      <c r="D80" s="17">
        <f>D65</f>
        <v>0</v>
      </c>
      <c r="X80" s="6"/>
      <c r="AD80" s="6"/>
    </row>
    <row r="81" spans="1:30" x14ac:dyDescent="0.25">
      <c r="A81" s="6" t="s">
        <v>157</v>
      </c>
      <c r="B81" s="53">
        <f>B79-B80</f>
        <v>0</v>
      </c>
      <c r="C81" s="53">
        <f>C79-C80</f>
        <v>0</v>
      </c>
      <c r="D81" s="53">
        <f>D79-D80</f>
        <v>0</v>
      </c>
      <c r="X81" s="6"/>
      <c r="AD81" s="6"/>
    </row>
    <row r="82" spans="1:30" x14ac:dyDescent="0.25">
      <c r="B82" s="48"/>
      <c r="C82" s="48"/>
      <c r="D82" s="48"/>
      <c r="X82" s="6"/>
      <c r="AD82" s="6"/>
    </row>
    <row r="83" spans="1:30" x14ac:dyDescent="0.25">
      <c r="B83" s="56">
        <f>90+B81</f>
        <v>90</v>
      </c>
      <c r="C83" s="56">
        <f>90+C81</f>
        <v>90</v>
      </c>
      <c r="D83" s="56">
        <f>90+D81</f>
        <v>90</v>
      </c>
      <c r="X83" s="6"/>
      <c r="AD83" s="6"/>
    </row>
    <row r="84" spans="1:30" x14ac:dyDescent="0.25">
      <c r="A84" t="s">
        <v>151</v>
      </c>
      <c r="B84" s="56">
        <f>200*COS(RADIANS(B83/2))</f>
        <v>141.42135623730951</v>
      </c>
      <c r="C84" s="56">
        <f>200*COS(RADIANS(C83/2))</f>
        <v>141.42135623730951</v>
      </c>
      <c r="D84" s="56">
        <f>200*COS(RADIANS(D83/2))</f>
        <v>141.42135623730951</v>
      </c>
      <c r="X84" s="6"/>
      <c r="AD84" s="6"/>
    </row>
    <row r="85" spans="1:30" x14ac:dyDescent="0.25">
      <c r="A85" t="s">
        <v>152</v>
      </c>
      <c r="B85" s="56">
        <f>200*SIN(RADIANS(B83/2))</f>
        <v>141.42135623730948</v>
      </c>
      <c r="C85" s="56">
        <f>200*SIN(RADIANS(C83/2))</f>
        <v>141.42135623730948</v>
      </c>
      <c r="D85" s="56">
        <f>200*SIN(RADIANS(D83/2))</f>
        <v>141.42135623730948</v>
      </c>
      <c r="X85" s="6"/>
      <c r="AD85" s="6"/>
    </row>
    <row r="86" spans="1:30" x14ac:dyDescent="0.25">
      <c r="A86" t="s">
        <v>153</v>
      </c>
      <c r="B86" s="56">
        <f>(2/scale)*B74/SQRT(2)</f>
        <v>100</v>
      </c>
      <c r="C86" s="56">
        <f>(2/scale)*C74/SQRT(2)</f>
        <v>100</v>
      </c>
      <c r="D86" s="56">
        <f>(2/scale)*D74/SQRT(2)</f>
        <v>100</v>
      </c>
      <c r="X86" s="6"/>
      <c r="AD86" s="6"/>
    </row>
    <row r="87" spans="1:30" x14ac:dyDescent="0.25">
      <c r="A87" s="33" t="s">
        <v>125</v>
      </c>
      <c r="B87" s="57">
        <f>SQRT((2*B84^2)+(2*B85^2)-(4*B86^2))/2</f>
        <v>99.999999999999986</v>
      </c>
      <c r="C87" s="57">
        <f>SQRT((2*C84^2)+(2*C85^2)-(4*C86^2))/2</f>
        <v>99.999999999999986</v>
      </c>
      <c r="D87" s="57">
        <f>SQRT((2*D84^2)+(2*D85^2)-(4*D86^2))/2</f>
        <v>99.999999999999986</v>
      </c>
      <c r="X87" s="6"/>
      <c r="AD87" s="6"/>
    </row>
    <row r="88" spans="1:30" x14ac:dyDescent="0.25">
      <c r="A88" s="14" t="s">
        <v>101</v>
      </c>
      <c r="B88" s="58">
        <f>IFERROR(TAN(PI()/2-ACOS((B84*B84-B87*B87-B86*B86)/(2*B87*B86))),0)</f>
        <v>2.2204460492503131E-16</v>
      </c>
      <c r="C88" s="58">
        <f>IFERROR(TAN(PI()/2-ACOS((C84*C84-C87*C87-C86*C86)/(2*C87*C86))),0)</f>
        <v>2.2204460492503131E-16</v>
      </c>
      <c r="D88" s="58">
        <f>IFERROR(TAN(PI()/2-ACOS((D84*D84-D87*D87-D86*D86)/(2*D87*D86))),0)</f>
        <v>2.2204460492503131E-16</v>
      </c>
      <c r="E88" s="3"/>
      <c r="F88" s="29"/>
    </row>
    <row r="89" spans="1:30" x14ac:dyDescent="0.25">
      <c r="A89" t="s">
        <v>176</v>
      </c>
      <c r="B89" s="59">
        <f>ROUND(B84,3)</f>
        <v>141.42099999999999</v>
      </c>
      <c r="C89" s="59">
        <f>ROUND(C84,3)</f>
        <v>141.42099999999999</v>
      </c>
      <c r="D89" s="59">
        <f>ROUND(D84,3)</f>
        <v>141.42099999999999</v>
      </c>
      <c r="E89" s="4"/>
      <c r="I89" s="4"/>
      <c r="J89" s="4"/>
      <c r="K89" s="4"/>
      <c r="L89" s="4"/>
      <c r="M89" s="4"/>
      <c r="N89" s="4"/>
      <c r="O89" s="4"/>
      <c r="P89" s="4"/>
    </row>
    <row r="90" spans="1:30" x14ac:dyDescent="0.25">
      <c r="A90" t="s">
        <v>177</v>
      </c>
      <c r="B90" s="59">
        <f t="shared" ref="B90:D91" si="11">ROUND(B85,3)</f>
        <v>141.42099999999999</v>
      </c>
      <c r="C90" s="59">
        <f t="shared" si="11"/>
        <v>141.42099999999999</v>
      </c>
      <c r="D90" s="59">
        <f t="shared" si="11"/>
        <v>141.42099999999999</v>
      </c>
      <c r="E90" s="4"/>
      <c r="I90" s="4"/>
      <c r="J90" s="4"/>
      <c r="K90" s="4"/>
      <c r="L90" s="4"/>
      <c r="M90" s="4"/>
      <c r="N90" s="4"/>
      <c r="O90" s="4"/>
      <c r="P90" s="4"/>
    </row>
    <row r="91" spans="1:30" x14ac:dyDescent="0.25">
      <c r="A91" t="s">
        <v>178</v>
      </c>
      <c r="B91" s="59">
        <f t="shared" si="11"/>
        <v>100</v>
      </c>
      <c r="C91" s="59">
        <f t="shared" si="11"/>
        <v>100</v>
      </c>
      <c r="D91" s="59">
        <f t="shared" si="11"/>
        <v>100</v>
      </c>
      <c r="E91" s="4"/>
      <c r="I91" s="4"/>
      <c r="J91" s="4"/>
      <c r="K91" s="4"/>
      <c r="L91" s="4"/>
      <c r="M91" s="4"/>
      <c r="N91" s="4"/>
      <c r="O91" s="4"/>
      <c r="P91" s="4"/>
    </row>
    <row r="92" spans="1:30" x14ac:dyDescent="0.25">
      <c r="C92" s="18"/>
      <c r="E92" s="4"/>
      <c r="I92" s="4"/>
      <c r="J92" s="4"/>
      <c r="K92" s="4"/>
      <c r="L92" s="4"/>
      <c r="M92" s="4"/>
      <c r="N92" s="4"/>
      <c r="O92" s="4"/>
      <c r="P92" s="4"/>
    </row>
    <row r="93" spans="1:30" x14ac:dyDescent="0.25">
      <c r="C93" s="18"/>
      <c r="E93" s="4"/>
      <c r="I93" s="4"/>
      <c r="J93" s="4"/>
      <c r="K93" s="4"/>
      <c r="L93" s="4"/>
      <c r="M93" s="4"/>
      <c r="N93" s="4"/>
      <c r="O93" s="4"/>
      <c r="P93" s="4"/>
    </row>
    <row r="94" spans="1:30" x14ac:dyDescent="0.25">
      <c r="C94" s="18"/>
      <c r="E94" s="4"/>
      <c r="I94" s="4"/>
      <c r="J94" s="4"/>
      <c r="K94" s="4"/>
      <c r="L94" s="4"/>
      <c r="M94" s="4"/>
      <c r="N94" s="4"/>
      <c r="O94" s="4"/>
      <c r="P94" s="4"/>
    </row>
    <row r="95" spans="1:30" x14ac:dyDescent="0.25">
      <c r="C95" s="18"/>
      <c r="E95" s="4"/>
      <c r="I95" s="4"/>
      <c r="J95" s="4"/>
      <c r="K95" s="4"/>
      <c r="L95" s="4"/>
      <c r="M95" s="4"/>
      <c r="N95" s="4"/>
      <c r="O95" s="4"/>
      <c r="P95" s="4"/>
    </row>
    <row r="96" spans="1:30" x14ac:dyDescent="0.25">
      <c r="C96" s="18"/>
      <c r="E96" s="4"/>
      <c r="I96" s="4"/>
      <c r="J96" s="4"/>
      <c r="K96" s="4"/>
      <c r="L96" s="4"/>
      <c r="M96" s="4"/>
      <c r="N96" s="4"/>
      <c r="O96" s="4"/>
      <c r="P96" s="4"/>
    </row>
    <row r="97" spans="1:16" ht="18.75" x14ac:dyDescent="0.3">
      <c r="A97" s="47" t="s">
        <v>31</v>
      </c>
      <c r="C97" s="18"/>
      <c r="E97">
        <v>1000</v>
      </c>
      <c r="I97" s="4"/>
      <c r="J97" s="4"/>
      <c r="K97" s="4"/>
      <c r="L97" s="4"/>
      <c r="M97" s="4"/>
      <c r="N97" s="4"/>
      <c r="O97" s="4"/>
      <c r="P97" s="4"/>
    </row>
    <row r="98" spans="1:16" x14ac:dyDescent="0.25">
      <c r="A98" s="6" t="s">
        <v>5</v>
      </c>
      <c r="B98" s="17">
        <f>ABS(B79)</f>
        <v>0</v>
      </c>
      <c r="C98" s="9">
        <v>0.4</v>
      </c>
      <c r="D98" s="41">
        <f>IF(B98&gt;C98,0,1-(B98/C98))</f>
        <v>1</v>
      </c>
      <c r="E98" s="2">
        <f>D98*$E$97/5</f>
        <v>200</v>
      </c>
      <c r="I98" s="4"/>
      <c r="J98" s="4"/>
      <c r="K98" s="4"/>
    </row>
    <row r="99" spans="1:16" x14ac:dyDescent="0.25">
      <c r="A99" s="6" t="s">
        <v>9</v>
      </c>
      <c r="B99" s="17">
        <f>ABS(C79)</f>
        <v>0</v>
      </c>
      <c r="C99" s="9">
        <v>0.4</v>
      </c>
      <c r="D99" s="41">
        <f t="shared" ref="D99" si="12">IF(B99&gt;C99,0,1-(B99/C99))</f>
        <v>1</v>
      </c>
      <c r="E99" s="2">
        <f t="shared" ref="E99:E102" si="13">D99*$E$97/5</f>
        <v>200</v>
      </c>
      <c r="I99" s="4"/>
      <c r="J99" s="4"/>
      <c r="K99" s="4"/>
    </row>
    <row r="100" spans="1:16" x14ac:dyDescent="0.25">
      <c r="A100" s="6" t="s">
        <v>10</v>
      </c>
      <c r="B100" s="17">
        <f>ABS(D79)</f>
        <v>0</v>
      </c>
      <c r="C100" s="9">
        <v>0.4</v>
      </c>
      <c r="D100" s="41">
        <f>IF(B100&gt;C100,0,1-(B100/C100))</f>
        <v>1</v>
      </c>
      <c r="E100" s="2">
        <f t="shared" si="13"/>
        <v>200</v>
      </c>
      <c r="I100" s="4"/>
      <c r="J100" s="4"/>
      <c r="K100" s="4"/>
    </row>
    <row r="101" spans="1:16" x14ac:dyDescent="0.25">
      <c r="A101" s="6" t="s">
        <v>13</v>
      </c>
      <c r="B101" s="41">
        <f>ABS(B41)</f>
        <v>0</v>
      </c>
      <c r="C101" s="3">
        <v>6.0000000000000001E-3</v>
      </c>
      <c r="D101" s="41">
        <f>IF(B101&gt;C101,0,1-(B101/C101))</f>
        <v>1</v>
      </c>
      <c r="E101" s="2">
        <f t="shared" si="13"/>
        <v>200</v>
      </c>
      <c r="I101" s="4"/>
      <c r="J101" s="4"/>
      <c r="K101" s="4"/>
    </row>
    <row r="102" spans="1:16" x14ac:dyDescent="0.25">
      <c r="A102" s="6" t="s">
        <v>14</v>
      </c>
      <c r="B102" s="41">
        <f>ABS(C41)</f>
        <v>0</v>
      </c>
      <c r="C102" s="3">
        <v>6.0000000000000001E-3</v>
      </c>
      <c r="D102" s="41">
        <f>IF(B102&gt;C102,0,1-(B102/C102))</f>
        <v>1</v>
      </c>
      <c r="E102" s="2">
        <f t="shared" si="13"/>
        <v>200</v>
      </c>
      <c r="I102" s="4"/>
      <c r="J102" s="4"/>
      <c r="K102" s="4"/>
    </row>
    <row r="103" spans="1:16" x14ac:dyDescent="0.25">
      <c r="A103" s="6"/>
      <c r="B103" s="17"/>
      <c r="C103" s="9"/>
      <c r="D103" s="41"/>
      <c r="E103" s="2">
        <f>SUM(E98:E102)</f>
        <v>1000</v>
      </c>
      <c r="I103" s="4"/>
      <c r="J103" s="4"/>
      <c r="K103" s="4"/>
    </row>
    <row r="104" spans="1:16" x14ac:dyDescent="0.25">
      <c r="A104" s="6"/>
      <c r="B104" s="28"/>
      <c r="C104" s="28"/>
      <c r="D104" s="28"/>
    </row>
    <row r="105" spans="1:16" ht="18.75" x14ac:dyDescent="0.3">
      <c r="A105" s="47" t="s">
        <v>4</v>
      </c>
      <c r="B105" s="28"/>
      <c r="C105" s="28"/>
      <c r="D105" s="28"/>
    </row>
    <row r="106" spans="1:16" x14ac:dyDescent="0.25">
      <c r="A106" t="str">
        <f>"XY"&amp;"="&amp;B89&amp;","&amp;B90&amp;","&amp;B91</f>
        <v>XY=141.421,141.421,100</v>
      </c>
      <c r="B106" s="28"/>
      <c r="C106" s="28"/>
      <c r="D106" s="28"/>
    </row>
    <row r="107" spans="1:16" x14ac:dyDescent="0.25">
      <c r="A107" t="str">
        <f>"XZ"&amp;"="&amp;C89&amp;","&amp;C90&amp;","&amp;C91</f>
        <v>XZ=141.421,141.421,100</v>
      </c>
      <c r="B107" s="28"/>
      <c r="C107" s="28"/>
      <c r="D107" s="28"/>
    </row>
    <row r="108" spans="1:16" x14ac:dyDescent="0.25">
      <c r="A108" t="str">
        <f>"YZ"&amp;"="&amp;D89&amp;","&amp;D90&amp;","&amp;D91</f>
        <v>YZ=141.421,141.421,100</v>
      </c>
      <c r="B108" s="28"/>
      <c r="C108" s="28"/>
      <c r="D108" s="28"/>
    </row>
    <row r="109" spans="1:16" x14ac:dyDescent="0.25">
      <c r="A109" s="6"/>
      <c r="B109" s="28"/>
      <c r="C109" s="28"/>
      <c r="D109" s="28"/>
    </row>
    <row r="110" spans="1:16" x14ac:dyDescent="0.25">
      <c r="A110" s="6"/>
      <c r="B110" s="28"/>
      <c r="C110" s="28"/>
      <c r="D110" s="28"/>
    </row>
    <row r="111" spans="1:16" x14ac:dyDescent="0.25">
      <c r="A111" t="s">
        <v>120</v>
      </c>
      <c r="B111" s="8"/>
      <c r="C111" s="8"/>
      <c r="D111" s="8"/>
    </row>
    <row r="112" spans="1:16" x14ac:dyDescent="0.25">
      <c r="A112" t="str">
        <f>"SET_SKEW"&amp;" "&amp;A106&amp;" "&amp;A107&amp;" "&amp;A108</f>
        <v>SET_SKEW XY=141.421,141.421,100 XZ=141.421,141.421,100 YZ=141.421,141.421,100</v>
      </c>
    </row>
    <row r="113" spans="1:17" x14ac:dyDescent="0.25">
      <c r="A113" t="s">
        <v>121</v>
      </c>
    </row>
    <row r="114" spans="1:17" x14ac:dyDescent="0.25">
      <c r="A114" s="16" t="s">
        <v>122</v>
      </c>
    </row>
    <row r="115" spans="1:17" x14ac:dyDescent="0.25">
      <c r="A115" s="16" t="s">
        <v>123</v>
      </c>
    </row>
    <row r="116" spans="1:17" x14ac:dyDescent="0.25">
      <c r="A116" s="16" t="s">
        <v>124</v>
      </c>
    </row>
    <row r="117" spans="1:17" x14ac:dyDescent="0.25">
      <c r="A117" s="6"/>
      <c r="B117" s="28"/>
      <c r="C117" s="28"/>
      <c r="D117" s="28"/>
      <c r="E117" s="23"/>
      <c r="F117" s="35"/>
      <c r="I117" s="34"/>
      <c r="J117" s="34"/>
      <c r="K117" s="34"/>
      <c r="L117" s="34"/>
      <c r="M117" s="34"/>
    </row>
    <row r="118" spans="1:17" ht="15.75" x14ac:dyDescent="0.25">
      <c r="A118" s="30" t="s">
        <v>8</v>
      </c>
    </row>
    <row r="119" spans="1:17" x14ac:dyDescent="0.25">
      <c r="A119" t="str">
        <f>"#define XY_DIAG_AC " &amp; ROUND(B89,4)</f>
        <v>#define XY_DIAG_AC 141.421</v>
      </c>
      <c r="D119" t="s">
        <v>126</v>
      </c>
      <c r="I119" s="2"/>
      <c r="J119" s="2"/>
      <c r="K119" s="2"/>
      <c r="L119" s="2"/>
      <c r="M119" s="2"/>
      <c r="N119" s="2"/>
      <c r="O119" s="2"/>
      <c r="P119" s="2"/>
      <c r="Q119" s="10"/>
    </row>
    <row r="120" spans="1:17" x14ac:dyDescent="0.25">
      <c r="A120" t="str">
        <f>"#define XY_DIAG_BD " &amp; ROUND(B90,4)</f>
        <v>#define XY_DIAG_BD 141.421</v>
      </c>
      <c r="D120" t="s">
        <v>127</v>
      </c>
      <c r="I120" s="2"/>
      <c r="J120" s="2"/>
      <c r="K120" s="2"/>
      <c r="L120" s="2"/>
      <c r="M120" s="2"/>
      <c r="N120" s="2"/>
      <c r="O120" s="2"/>
      <c r="P120" s="2"/>
      <c r="Q120" s="10"/>
    </row>
    <row r="121" spans="1:17" x14ac:dyDescent="0.25">
      <c r="A121" t="str">
        <f>"#define XY_SIDE_AD "&amp;ROUND(B91,4)</f>
        <v>#define XY_SIDE_AD 100</v>
      </c>
      <c r="D121" t="s">
        <v>128</v>
      </c>
      <c r="I121" s="2"/>
      <c r="J121" s="2"/>
      <c r="K121" s="2"/>
      <c r="L121" s="2"/>
      <c r="M121" s="2"/>
      <c r="N121" s="2"/>
      <c r="O121" s="2"/>
      <c r="P121" s="2"/>
      <c r="Q121" s="10"/>
    </row>
    <row r="122" spans="1:17" x14ac:dyDescent="0.25">
      <c r="D122" t="s">
        <v>130</v>
      </c>
      <c r="I122" s="2"/>
      <c r="J122" s="2"/>
      <c r="K122" s="2"/>
      <c r="L122" s="2"/>
      <c r="M122" s="2"/>
      <c r="N122" s="2"/>
      <c r="O122" s="2"/>
      <c r="P122" s="2"/>
      <c r="Q122" s="10"/>
    </row>
    <row r="123" spans="1:17" x14ac:dyDescent="0.25">
      <c r="A123" t="str">
        <f>IFERROR("#define XY_SKEW_FACTOR " &amp; ROUND(B88,8),"ERROR")</f>
        <v>#define XY_SKEW_FACTOR 0</v>
      </c>
      <c r="D123" t="s">
        <v>132</v>
      </c>
      <c r="I123" s="2"/>
      <c r="J123" s="2"/>
      <c r="K123" s="2"/>
      <c r="L123" s="2"/>
      <c r="M123" s="2"/>
      <c r="N123" s="2"/>
      <c r="O123" s="2"/>
      <c r="P123" s="2"/>
      <c r="Q123" s="10"/>
    </row>
    <row r="124" spans="1:17" x14ac:dyDescent="0.25">
      <c r="A124" t="str">
        <f>IFERROR("#define XZ_SKEW_FACTOR " &amp; ROUND(C88,8),"ERROR")</f>
        <v>#define XZ_SKEW_FACTOR 0</v>
      </c>
      <c r="I124" s="2"/>
      <c r="J124" s="2"/>
      <c r="K124" s="2"/>
      <c r="L124" s="2"/>
      <c r="M124" s="2"/>
      <c r="N124" s="2"/>
      <c r="O124" s="2"/>
      <c r="P124" s="2"/>
      <c r="Q124" s="10"/>
    </row>
    <row r="125" spans="1:17" x14ac:dyDescent="0.25">
      <c r="A125" t="str">
        <f>IFERROR("#define YZ_SKEW_FACTOR " &amp; ROUND(D88,8),"ERROR")</f>
        <v>#define YZ_SKEW_FACTOR 0</v>
      </c>
      <c r="I125" s="2"/>
      <c r="J125" s="2"/>
      <c r="K125" s="2"/>
      <c r="L125" s="2"/>
      <c r="M125" s="2"/>
      <c r="N125" s="2"/>
      <c r="O125" s="2"/>
      <c r="P125" s="2"/>
      <c r="Q125" s="10"/>
    </row>
    <row r="126" spans="1:17" x14ac:dyDescent="0.25">
      <c r="I126" s="2"/>
      <c r="J126" s="2"/>
      <c r="K126" s="2"/>
      <c r="L126" s="2"/>
      <c r="M126" s="2"/>
      <c r="N126" s="2"/>
      <c r="O126" s="2"/>
      <c r="P126" s="2"/>
      <c r="Q126" s="10"/>
    </row>
    <row r="127" spans="1:17" x14ac:dyDescent="0.25">
      <c r="A127" t="str">
        <f>"#define XZ_DIAG_AC " &amp;ROUND(C89,7)</f>
        <v>#define XZ_DIAG_AC 141.421</v>
      </c>
      <c r="I127" s="2"/>
      <c r="J127" s="2"/>
      <c r="K127" s="2"/>
      <c r="L127" s="2"/>
      <c r="M127" s="2"/>
      <c r="N127" s="2"/>
      <c r="O127" s="2"/>
      <c r="P127" s="2"/>
      <c r="Q127" s="10"/>
    </row>
    <row r="128" spans="1:17" x14ac:dyDescent="0.25">
      <c r="A128" t="str">
        <f>"#define XZ_DIAG_BD "&amp;ROUND(C90,7)</f>
        <v>#define XZ_DIAG_BD 141.421</v>
      </c>
      <c r="I128" s="2"/>
      <c r="J128" s="2"/>
      <c r="K128" s="2"/>
      <c r="L128" s="2"/>
      <c r="M128" s="2"/>
      <c r="N128" s="2"/>
      <c r="O128" s="2"/>
      <c r="P128" s="2"/>
      <c r="Q128" s="10"/>
    </row>
    <row r="129" spans="1:17" x14ac:dyDescent="0.25">
      <c r="A129" t="str">
        <f>"#define YZ_DIAG_AC "&amp; ROUND(D89,7)</f>
        <v>#define YZ_DIAG_AC 141.421</v>
      </c>
      <c r="I129" s="2"/>
      <c r="J129" s="2"/>
      <c r="K129" s="2"/>
      <c r="L129" s="2"/>
      <c r="M129" s="2"/>
      <c r="N129" s="2"/>
      <c r="O129" s="2"/>
      <c r="P129" s="2"/>
      <c r="Q129" s="10"/>
    </row>
    <row r="130" spans="1:17" x14ac:dyDescent="0.25">
      <c r="A130" t="str">
        <f>"#define YZ_DIAG_BD "&amp;ROUND( D90,7)</f>
        <v>#define YZ_DIAG_BD 141.421</v>
      </c>
      <c r="I130" s="2"/>
      <c r="J130" s="2"/>
      <c r="K130" s="2"/>
      <c r="L130" s="2"/>
      <c r="M130" s="2"/>
      <c r="N130" s="2"/>
      <c r="O130" s="2"/>
      <c r="P130" s="2"/>
      <c r="Q130" s="10"/>
    </row>
    <row r="131" spans="1:17" x14ac:dyDescent="0.25">
      <c r="A131" t="str">
        <f>"#define YZ_SIDE_AD "&amp; ROUND(D91,7)</f>
        <v>#define YZ_SIDE_AD 100</v>
      </c>
    </row>
    <row r="132" spans="1:17" x14ac:dyDescent="0.25">
      <c r="A132" s="6"/>
    </row>
    <row r="133" spans="1:17" x14ac:dyDescent="0.25">
      <c r="A133" s="6"/>
      <c r="B133" s="7" t="s">
        <v>129</v>
      </c>
    </row>
    <row r="134" spans="1:17" x14ac:dyDescent="0.25">
      <c r="A134" t="s">
        <v>131</v>
      </c>
      <c r="B134" t="str">
        <f>"M852 I"&amp;ROUND(B88,8)&amp;" J"&amp;ROUND(C88,8)&amp;" K"&amp;ROUND(D88,8)</f>
        <v>M852 I0 J0 K0</v>
      </c>
    </row>
    <row r="135" spans="1:17" x14ac:dyDescent="0.25">
      <c r="A135" t="s">
        <v>133</v>
      </c>
      <c r="B135" t="s">
        <v>134</v>
      </c>
    </row>
    <row r="137" spans="1:17" ht="15.75" x14ac:dyDescent="0.25">
      <c r="A137" s="30" t="s">
        <v>11</v>
      </c>
    </row>
    <row r="138" spans="1:17" x14ac:dyDescent="0.25">
      <c r="A138" t="s">
        <v>135</v>
      </c>
      <c r="B138" t="s">
        <v>136</v>
      </c>
    </row>
    <row r="139" spans="1:17" x14ac:dyDescent="0.25">
      <c r="A139" t="s">
        <v>12</v>
      </c>
      <c r="B139">
        <v>100</v>
      </c>
    </row>
    <row r="140" spans="1:17" x14ac:dyDescent="0.25">
      <c r="A140" t="s">
        <v>137</v>
      </c>
      <c r="B140" s="17">
        <f>B139*B88</f>
        <v>2.2204460492503131E-14</v>
      </c>
      <c r="C140" s="17"/>
      <c r="D140" s="17"/>
    </row>
    <row r="141" spans="1:17" x14ac:dyDescent="0.25">
      <c r="A141" t="s">
        <v>138</v>
      </c>
      <c r="B141" s="17">
        <f>B139*C88</f>
        <v>2.2204460492503131E-14</v>
      </c>
      <c r="C141" s="17"/>
    </row>
    <row r="142" spans="1:17" x14ac:dyDescent="0.25">
      <c r="A142" t="s">
        <v>139</v>
      </c>
      <c r="B142" s="17">
        <f>B139*D88</f>
        <v>2.2204460492503131E-14</v>
      </c>
    </row>
    <row r="143" spans="1:17" x14ac:dyDescent="0.25">
      <c r="A143" t="str">
        <f>"M556 S100 X"&amp;ROUND(B140,3)&amp;" Y"&amp;ROUND(B142,3)&amp;" Z"&amp;ROUND(B141,3)</f>
        <v>M556 S100 X0 Y0 Z0</v>
      </c>
    </row>
    <row r="146" spans="1:2" ht="15.75" x14ac:dyDescent="0.25">
      <c r="A146" s="30" t="s">
        <v>140</v>
      </c>
    </row>
    <row r="147" spans="1:2" x14ac:dyDescent="0.25">
      <c r="A147" t="s">
        <v>141</v>
      </c>
      <c r="B147" s="9">
        <f>ROUND((1+AVERAGE(B41,C41))*Calculator!C108,2)</f>
        <v>100</v>
      </c>
    </row>
    <row r="148" spans="1:2" x14ac:dyDescent="0.25">
      <c r="A148" t="s">
        <v>142</v>
      </c>
      <c r="B148" s="36">
        <f>Calculator!C112-AVERAGE(B41:C41)</f>
        <v>1</v>
      </c>
    </row>
    <row r="150" spans="1:2" ht="15.75" x14ac:dyDescent="0.25">
      <c r="A150" s="30" t="s">
        <v>65</v>
      </c>
    </row>
    <row r="151" spans="1:2" x14ac:dyDescent="0.25">
      <c r="A151" t="s">
        <v>13</v>
      </c>
      <c r="B151" s="2">
        <f>Calculator!C118*(1-Data!B41)</f>
        <v>100</v>
      </c>
    </row>
    <row r="152" spans="1:2" x14ac:dyDescent="0.25">
      <c r="A152" t="s">
        <v>14</v>
      </c>
      <c r="B152" s="2">
        <f>Calculator!C119*(1-Data!C41)</f>
        <v>100</v>
      </c>
    </row>
    <row r="154" spans="1:2" ht="15.75" x14ac:dyDescent="0.25">
      <c r="A154" s="30" t="s">
        <v>71</v>
      </c>
    </row>
    <row r="155" spans="1:2" x14ac:dyDescent="0.25">
      <c r="A155" t="s">
        <v>13</v>
      </c>
      <c r="B155" s="9">
        <f>(1+B41)*Calculator!C125</f>
        <v>100</v>
      </c>
    </row>
    <row r="156" spans="1:2" x14ac:dyDescent="0.25">
      <c r="A156" t="s">
        <v>14</v>
      </c>
      <c r="B156" s="9">
        <f>(1+C41)*Calculator!C126</f>
        <v>100</v>
      </c>
    </row>
  </sheetData>
  <sheetProtection algorithmName="SHA-512" hashValue="ZoEczhqQXB9ei4AheOus8CiIUDOUdphHUw5FT26BNiHvPi8Udv6yG7WGUFiEw/kMQx44TuVukfBGd0sypdiuBw==" saltValue="bn+R31Xn+Ef6Kjcv0fq4Xw==" spinCount="100000" sheet="1" selectLockedCells="1" selectUnlockedCells="1"/>
  <dataConsolidate/>
  <mergeCells count="6">
    <mergeCell ref="A2:A5"/>
    <mergeCell ref="A6:A9"/>
    <mergeCell ref="A10:A11"/>
    <mergeCell ref="A16:A17"/>
    <mergeCell ref="A14:A15"/>
    <mergeCell ref="A12:A1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18</vt:i4>
      </vt:variant>
    </vt:vector>
  </HeadingPairs>
  <TitlesOfParts>
    <vt:vector size="20" baseType="lpstr">
      <vt:lpstr>Calculator</vt:lpstr>
      <vt:lpstr>Data</vt:lpstr>
      <vt:lpstr>scale</vt:lpstr>
      <vt:lpstr>XBig</vt:lpstr>
      <vt:lpstr>XTravel</vt:lpstr>
      <vt:lpstr>XTravelDouble</vt:lpstr>
      <vt:lpstr>XTravelHalf</vt:lpstr>
      <vt:lpstr>XYDiag</vt:lpstr>
      <vt:lpstr>XYTravel</vt:lpstr>
      <vt:lpstr>YBig</vt:lpstr>
      <vt:lpstr>YTravel</vt:lpstr>
      <vt:lpstr>YTravelDouble</vt:lpstr>
      <vt:lpstr>YTravelHalf</vt:lpstr>
      <vt:lpstr>ZBig</vt:lpstr>
      <vt:lpstr>ZTravelDouble</vt:lpstr>
      <vt:lpstr>ZVertical</vt:lpstr>
      <vt:lpstr>ZVerticalHalf</vt:lpstr>
      <vt:lpstr>ZXDiag</vt:lpstr>
      <vt:lpstr>ZYDiag</vt:lpstr>
      <vt:lpstr>ZYTravel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Meadows</dc:creator>
  <cp:keywords/>
  <dc:description/>
  <cp:lastModifiedBy>Adam Meadows</cp:lastModifiedBy>
  <cp:revision/>
  <dcterms:created xsi:type="dcterms:W3CDTF">2021-12-10T19:35:57Z</dcterms:created>
  <dcterms:modified xsi:type="dcterms:W3CDTF">2025-01-01T12:33:46Z</dcterms:modified>
  <cp:category/>
  <cp:contentStatus/>
</cp:coreProperties>
</file>